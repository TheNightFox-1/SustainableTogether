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mzab\Nextcloud\_Claude\projects\incose-gfse-wg\SustainableTogether\SustainableTogether Projects\Business Model\SustainaSun EMEASEC2026\"/>
    </mc:Choice>
  </mc:AlternateContent>
  <xr:revisionPtr revIDLastSave="0" documentId="8_{2BE48A3F-3EB7-45EB-B876-6E5ABDD68F31}" xr6:coauthVersionLast="47" xr6:coauthVersionMax="47" xr10:uidLastSave="{00000000-0000-0000-0000-000000000000}"/>
  <bookViews>
    <workbookView xWindow="1900" yWindow="1900" windowWidth="14400" windowHeight="8170" tabRatio="500" activeTab="1" xr2:uid="{00000000-000D-0000-FFFF-FFFF00000000}"/>
  </bookViews>
  <sheets>
    <sheet name="README" sheetId="1" r:id="rId1"/>
    <sheet name="Assessmen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8" i="2" l="1"/>
  <c r="D28" i="2"/>
  <c r="G27" i="2"/>
  <c r="G38" i="2" s="1"/>
  <c r="D27" i="2"/>
  <c r="D37" i="2" s="1"/>
  <c r="G26" i="2"/>
  <c r="D26" i="2"/>
</calcChain>
</file>

<file path=xl/sharedStrings.xml><?xml version="1.0" encoding="utf-8"?>
<sst xmlns="http://schemas.openxmlformats.org/spreadsheetml/2006/main" count="144" uniqueCount="124">
  <si>
    <t>SustainableTogether – Future-Fit Business Benchmark Assessment (Proof of Concept)</t>
  </si>
  <si>
    <t>Purpose</t>
  </si>
  <si>
    <t>Socio-environmental verification of the SustainableTogether PV product-as-a-service business model against the</t>
  </si>
  <si>
    <t>23 Break-Even Goals of the Future-Fit Business Benchmark (Future-Fit Foundation, https://futurefitbusiness.org/benchmark/).</t>
  </si>
  <si>
    <t>Performed during business model design, before EA/SE transformation, as part of the FBC–EA–SE integration framework.</t>
  </si>
  <si>
    <t>Method</t>
  </si>
  <si>
    <t>Each Break-Even Goal is scored with a fitness progress indicator (0–100%), following the Benchmark approach.</t>
  </si>
  <si>
    <t>Official future-fitness requires 100% on every goal. For early-stage concept verification, the team defined an</t>
  </si>
  <si>
    <t>illustrative interim acceptance gate (sheet "Assessment", rows 31–35). Iteration 1 = initial lease concept.</t>
  </si>
  <si>
    <t>Iteration 2 = concept after adjustments. Scores are illustrative expert estimates for the proof of concept.</t>
  </si>
  <si>
    <t>Companion files</t>
  </si>
  <si>
    <t>SustainableTogether_FBMC_Analysis.docx (business model), SustainableTogether_Financial_Model.xlsx (economic verification).</t>
  </si>
  <si>
    <t>ID</t>
  </si>
  <si>
    <t>Break-Even Goal (Future-Fit Foundation)</t>
  </si>
  <si>
    <t>Topic</t>
  </si>
  <si>
    <t>Iter. 1 fitness</t>
  </si>
  <si>
    <t>Gap driver (Iteration 1)</t>
  </si>
  <si>
    <t>Iteration 2 action (business model adjustment)</t>
  </si>
  <si>
    <t>Iter. 2 fitness</t>
  </si>
  <si>
    <t>BE01</t>
  </si>
  <si>
    <t>Energy is from renewable sources</t>
  </si>
  <si>
    <t>Energy</t>
  </si>
  <si>
    <t>Depot electricity on grid mix; fossil service vans</t>
  </si>
  <si>
    <t>100% renewable electricity PPA for all operations</t>
  </si>
  <si>
    <t>BE02</t>
  </si>
  <si>
    <t>Water use is environmentally responsible and socially equitable</t>
  </si>
  <si>
    <t>Water</t>
  </si>
  <si>
    <t>Minimal operational water use</t>
  </si>
  <si>
    <t>Maintain</t>
  </si>
  <si>
    <t>BE03</t>
  </si>
  <si>
    <t>Natural resources are managed to respect the welfare of ecosystems, people and animals</t>
  </si>
  <si>
    <t>Natural resources</t>
  </si>
  <si>
    <t>Virgin silicon and aluminium; mining practices unverified</t>
  </si>
  <si>
    <t>30% refurbished module pool; recycled-aluminium mounting</t>
  </si>
  <si>
    <t>BE04</t>
  </si>
  <si>
    <t>Procurement safeguards the pursuit of future-fitness</t>
  </si>
  <si>
    <t>Drivers</t>
  </si>
  <si>
    <t>Module supply chain not assessed (silicon provenance, labor conditions)</t>
  </si>
  <si>
    <t>Supplier code of conduct, third-party audits, low-carbon silicon sourcing</t>
  </si>
  <si>
    <t>BE05</t>
  </si>
  <si>
    <t>Operational emissions do not harm people or the environment</t>
  </si>
  <si>
    <t>Pollution</t>
  </si>
  <si>
    <t>Minor workshop emissions</t>
  </si>
  <si>
    <t>Extraction and filtering upgrade</t>
  </si>
  <si>
    <t>BE06</t>
  </si>
  <si>
    <t>Operations emit no greenhouse gases</t>
  </si>
  <si>
    <t>Diesel service vans; grid-mix depot</t>
  </si>
  <si>
    <t>Electric service vans + renewable PPA</t>
  </si>
  <si>
    <t>BE07</t>
  </si>
  <si>
    <t>Operational waste is eliminated</t>
  </si>
  <si>
    <t>Waste</t>
  </si>
  <si>
    <t>Installation offcuts and one-way packaging</t>
  </si>
  <si>
    <t>Reusable packaging loop with suppliers; installer waste protocol</t>
  </si>
  <si>
    <t>BE08</t>
  </si>
  <si>
    <t>Operations do not encroach on ecosystems or communities</t>
  </si>
  <si>
    <t>Physical presence</t>
  </si>
  <si>
    <t>Rooftop installations only</t>
  </si>
  <si>
    <t>BE09</t>
  </si>
  <si>
    <t>Community health is safeguarded</t>
  </si>
  <si>
    <t>People</t>
  </si>
  <si>
    <t>No significant impacts identified</t>
  </si>
  <si>
    <t>BE10</t>
  </si>
  <si>
    <t>Employee health is safeguarded</t>
  </si>
  <si>
    <t>Rooftop fall-protection only partially formalized</t>
  </si>
  <si>
    <t>Certified fall-protection and safety program</t>
  </si>
  <si>
    <t>BE11</t>
  </si>
  <si>
    <t>Employees are paid at least a living wage</t>
  </si>
  <si>
    <t>Subcontracted installer wages unknown</t>
  </si>
  <si>
    <t>Living-wage clause in all subcontracts</t>
  </si>
  <si>
    <t>BE12</t>
  </si>
  <si>
    <t>Employees are subject to fair employment terms</t>
  </si>
  <si>
    <t>Seasonal installer contracts</t>
  </si>
  <si>
    <t>Convert installation crews to permanent contracts</t>
  </si>
  <si>
    <t>BE13</t>
  </si>
  <si>
    <t>Employees are not subject to discrimination</t>
  </si>
  <si>
    <t>Policy in place</t>
  </si>
  <si>
    <t>BE14</t>
  </si>
  <si>
    <t>Employee concerns are actively solicited, impartially judged and transparently addressed</t>
  </si>
  <si>
    <t>Informal mechanisms only</t>
  </si>
  <si>
    <t>Anonymous reporting channel; employee representation</t>
  </si>
  <si>
    <t>BE15</t>
  </si>
  <si>
    <t>Product communications are honest, ethical, and promote responsible use</t>
  </si>
  <si>
    <t>Green claims not yet substantiated</t>
  </si>
  <si>
    <t>Publish LCA-based claims; fully transparent lease terms</t>
  </si>
  <si>
    <t>BE16</t>
  </si>
  <si>
    <t>Product concerns are actively solicited, impartially judged and transparently addressed</t>
  </si>
  <si>
    <t>No formal customer concern mechanism</t>
  </si>
  <si>
    <t>Concern portal integrated in monitoring app</t>
  </si>
  <si>
    <t>BE17</t>
  </si>
  <si>
    <t>Products do not harm people or the environment</t>
  </si>
  <si>
    <t>End-of-life leakage risk if components leave controlled loop</t>
  </si>
  <si>
    <t>Contractual take-back; no resale outside verified channels</t>
  </si>
  <si>
    <t>BE18</t>
  </si>
  <si>
    <t>Products emit no greenhouse gases</t>
  </si>
  <si>
    <t>Use phase emission-free; embodied upstream emissions remain</t>
  </si>
  <si>
    <t>Low-carbon silicon and refurbished share reduce embodied emissions</t>
  </si>
  <si>
    <t>BE19</t>
  </si>
  <si>
    <t>Products can be repurposed</t>
  </si>
  <si>
    <t>Battery storage not designed for disassembly; bonded mounting components</t>
  </si>
  <si>
    <t>Cradle-to-cradle demountable design; battery second-life partnership; take-back anchored in lease contract</t>
  </si>
  <si>
    <t>BE20</t>
  </si>
  <si>
    <t>Business is conducted ethically</t>
  </si>
  <si>
    <t>Code of conduct in place</t>
  </si>
  <si>
    <t>BE21</t>
  </si>
  <si>
    <t>The right tax is paid in the right place at the right time</t>
  </si>
  <si>
    <t>Single jurisdiction</t>
  </si>
  <si>
    <t>BE22</t>
  </si>
  <si>
    <t>Lobbying and advocacy safeguard the pursuit of future-fitness</t>
  </si>
  <si>
    <t>Grid-rule advocacy aligned with future-fitness</t>
  </si>
  <si>
    <t>Publicly disclose advocacy positions</t>
  </si>
  <si>
    <t>BE23</t>
  </si>
  <si>
    <t>Financial assets safeguard the pursuit of future-fitness</t>
  </si>
  <si>
    <t>Cash held at conventional bank</t>
  </si>
  <si>
    <t>Switch to sustainability-focused bank</t>
  </si>
  <si>
    <t>Average fitness</t>
  </si>
  <si>
    <t>Goals below 50% fitness</t>
  </si>
  <si>
    <t>Hotspot goals (BE01, BE04, BE06, BE18, BE19) at or above 75%</t>
  </si>
  <si>
    <t>Interim acceptance gate (illustrative, defined by the team for early-stage verification):</t>
  </si>
  <si>
    <t>1. No Break-Even Goal below 50% fitness</t>
  </si>
  <si>
    <t>2. Average fitness at least 75%</t>
  </si>
  <si>
    <t>3. All five business-specific hotspot goals (BE01 energy, BE04 procurement, BE06 operational GHG, BE18 product GHG, BE19 repurposability) at or above 75%</t>
  </si>
  <si>
    <t>Note: the official Benchmark defines break-even as 100% fitness on every goal; this gate is an interim design checkpoint, not a future-fitness claim.</t>
  </si>
  <si>
    <t>Verdict Iteration 1</t>
  </si>
  <si>
    <t>Verdict Iteration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</si>
</sst>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%"/>
    <numFmt numFmtId="165" formatCode="0.0\%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i/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/>
    <xf numFmtId="165" fontId="4" fillId="0" borderId="0" xfId="0" applyNumberFormat="1" applyFont="1"/>
    <xf numFmtId="0" fontId="6" fillId="0" borderId="0" xfId="0" applyFont="1"/>
  </cellXfs>
  <cellStyles count="1">
    <cellStyle name="Normal" xfId="0" builtinId="0"/>
  </cellStyles>
  <dxfs count="6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zoomScaleNormal="100" workbookViewId="0"/>
  </sheetViews>
  <sheetFormatPr defaultColWidth="8.7265625" defaultRowHeight="14.5" x14ac:dyDescent="0.35"/>
  <cols>
    <col min="1" max="1" width="120" customWidth="1"/>
  </cols>
  <sheetData>
    <row r="1" spans="1:1" ht="18" x14ac:dyDescent="0.4">
      <c r="A1" s="1" t="s">
        <v>0</v>
      </c>
    </row>
    <row r="2" spans="1:1" x14ac:dyDescent="0.35">
      <c r="A2" s="2"/>
    </row>
    <row r="3" spans="1:1" x14ac:dyDescent="0.35">
      <c r="A3" s="3" t="s">
        <v>1</v>
      </c>
    </row>
    <row r="4" spans="1:1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 t="s">
        <v>4</v>
      </c>
    </row>
    <row r="7" spans="1:1" x14ac:dyDescent="0.35">
      <c r="A7" s="2"/>
    </row>
    <row r="8" spans="1:1" x14ac:dyDescent="0.35">
      <c r="A8" s="3" t="s">
        <v>5</v>
      </c>
    </row>
    <row r="9" spans="1:1" x14ac:dyDescent="0.35">
      <c r="A9" s="2" t="s">
        <v>6</v>
      </c>
    </row>
    <row r="10" spans="1:1" x14ac:dyDescent="0.35">
      <c r="A10" s="2" t="s">
        <v>7</v>
      </c>
    </row>
    <row r="11" spans="1:1" x14ac:dyDescent="0.35">
      <c r="A11" s="2" t="s">
        <v>8</v>
      </c>
    </row>
    <row r="12" spans="1:1" x14ac:dyDescent="0.35">
      <c r="A12" s="2" t="s">
        <v>9</v>
      </c>
    </row>
    <row r="13" spans="1:1" x14ac:dyDescent="0.35">
      <c r="A13" s="2"/>
    </row>
    <row r="14" spans="1:1" x14ac:dyDescent="0.35">
      <c r="A14" s="3" t="s">
        <v>10</v>
      </c>
    </row>
    <row r="15" spans="1:1" x14ac:dyDescent="0.35">
      <c r="A15" s="2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abSelected="1" zoomScaleNormal="100" workbookViewId="0"/>
  </sheetViews>
  <sheetFormatPr defaultColWidth="8.7265625" defaultRowHeight="14.5" x14ac:dyDescent="0.35"/>
  <cols>
    <col min="1" max="1" width="7" customWidth="1"/>
    <col min="2" max="2" width="44" customWidth="1"/>
    <col min="3" max="3" width="15" customWidth="1"/>
    <col min="4" max="4" width="9" customWidth="1"/>
    <col min="5" max="5" width="42" customWidth="1"/>
    <col min="6" max="6" width="48" customWidth="1"/>
    <col min="7" max="7" width="9" customWidth="1"/>
  </cols>
  <sheetData>
    <row r="1" spans="1:7" ht="26" x14ac:dyDescent="0.3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</row>
    <row r="2" spans="1:7" x14ac:dyDescent="0.35">
      <c r="A2" s="5" t="s">
        <v>19</v>
      </c>
      <c r="B2" s="5" t="s">
        <v>20</v>
      </c>
      <c r="C2" s="5" t="s">
        <v>21</v>
      </c>
      <c r="D2" s="6">
        <v>70</v>
      </c>
      <c r="E2" s="5" t="s">
        <v>22</v>
      </c>
      <c r="F2" s="5" t="s">
        <v>23</v>
      </c>
      <c r="G2" s="6">
        <v>95</v>
      </c>
    </row>
    <row r="3" spans="1:7" ht="25" x14ac:dyDescent="0.35">
      <c r="A3" s="5" t="s">
        <v>24</v>
      </c>
      <c r="B3" s="5" t="s">
        <v>25</v>
      </c>
      <c r="C3" s="5" t="s">
        <v>26</v>
      </c>
      <c r="D3" s="6">
        <v>95</v>
      </c>
      <c r="E3" s="5" t="s">
        <v>27</v>
      </c>
      <c r="F3" s="5" t="s">
        <v>28</v>
      </c>
      <c r="G3" s="6">
        <v>95</v>
      </c>
    </row>
    <row r="4" spans="1:7" ht="25" x14ac:dyDescent="0.35">
      <c r="A4" s="5" t="s">
        <v>29</v>
      </c>
      <c r="B4" s="5" t="s">
        <v>30</v>
      </c>
      <c r="C4" s="5" t="s">
        <v>31</v>
      </c>
      <c r="D4" s="6">
        <v>55</v>
      </c>
      <c r="E4" s="5" t="s">
        <v>32</v>
      </c>
      <c r="F4" s="5" t="s">
        <v>33</v>
      </c>
      <c r="G4" s="6">
        <v>75</v>
      </c>
    </row>
    <row r="5" spans="1:7" ht="25" x14ac:dyDescent="0.35">
      <c r="A5" s="5" t="s">
        <v>34</v>
      </c>
      <c r="B5" s="5" t="s">
        <v>35</v>
      </c>
      <c r="C5" s="5" t="s">
        <v>36</v>
      </c>
      <c r="D5" s="6">
        <v>40</v>
      </c>
      <c r="E5" s="5" t="s">
        <v>37</v>
      </c>
      <c r="F5" s="5" t="s">
        <v>38</v>
      </c>
      <c r="G5" s="6">
        <v>75</v>
      </c>
    </row>
    <row r="6" spans="1:7" ht="25" x14ac:dyDescent="0.35">
      <c r="A6" s="5" t="s">
        <v>39</v>
      </c>
      <c r="B6" s="5" t="s">
        <v>40</v>
      </c>
      <c r="C6" s="5" t="s">
        <v>41</v>
      </c>
      <c r="D6" s="6">
        <v>80</v>
      </c>
      <c r="E6" s="5" t="s">
        <v>42</v>
      </c>
      <c r="F6" s="5" t="s">
        <v>43</v>
      </c>
      <c r="G6" s="6">
        <v>85</v>
      </c>
    </row>
    <row r="7" spans="1:7" x14ac:dyDescent="0.35">
      <c r="A7" s="5" t="s">
        <v>44</v>
      </c>
      <c r="B7" s="5" t="s">
        <v>45</v>
      </c>
      <c r="C7" s="5" t="s">
        <v>41</v>
      </c>
      <c r="D7" s="6">
        <v>60</v>
      </c>
      <c r="E7" s="5" t="s">
        <v>46</v>
      </c>
      <c r="F7" s="5" t="s">
        <v>47</v>
      </c>
      <c r="G7" s="6">
        <v>85</v>
      </c>
    </row>
    <row r="8" spans="1:7" ht="25" x14ac:dyDescent="0.35">
      <c r="A8" s="5" t="s">
        <v>48</v>
      </c>
      <c r="B8" s="5" t="s">
        <v>49</v>
      </c>
      <c r="C8" s="5" t="s">
        <v>50</v>
      </c>
      <c r="D8" s="6">
        <v>50</v>
      </c>
      <c r="E8" s="5" t="s">
        <v>51</v>
      </c>
      <c r="F8" s="5" t="s">
        <v>52</v>
      </c>
      <c r="G8" s="6">
        <v>80</v>
      </c>
    </row>
    <row r="9" spans="1:7" ht="25" x14ac:dyDescent="0.35">
      <c r="A9" s="5" t="s">
        <v>53</v>
      </c>
      <c r="B9" s="5" t="s">
        <v>54</v>
      </c>
      <c r="C9" s="5" t="s">
        <v>55</v>
      </c>
      <c r="D9" s="6">
        <v>90</v>
      </c>
      <c r="E9" s="5" t="s">
        <v>56</v>
      </c>
      <c r="F9" s="5" t="s">
        <v>28</v>
      </c>
      <c r="G9" s="6">
        <v>90</v>
      </c>
    </row>
    <row r="10" spans="1:7" x14ac:dyDescent="0.35">
      <c r="A10" s="5" t="s">
        <v>57</v>
      </c>
      <c r="B10" s="5" t="s">
        <v>58</v>
      </c>
      <c r="C10" s="5" t="s">
        <v>59</v>
      </c>
      <c r="D10" s="6">
        <v>90</v>
      </c>
      <c r="E10" s="5" t="s">
        <v>60</v>
      </c>
      <c r="F10" s="5" t="s">
        <v>28</v>
      </c>
      <c r="G10" s="6">
        <v>90</v>
      </c>
    </row>
    <row r="11" spans="1:7" x14ac:dyDescent="0.35">
      <c r="A11" s="5" t="s">
        <v>61</v>
      </c>
      <c r="B11" s="5" t="s">
        <v>62</v>
      </c>
      <c r="C11" s="5" t="s">
        <v>59</v>
      </c>
      <c r="D11" s="6">
        <v>75</v>
      </c>
      <c r="E11" s="5" t="s">
        <v>63</v>
      </c>
      <c r="F11" s="5" t="s">
        <v>64</v>
      </c>
      <c r="G11" s="6">
        <v>85</v>
      </c>
    </row>
    <row r="12" spans="1:7" x14ac:dyDescent="0.35">
      <c r="A12" s="5" t="s">
        <v>65</v>
      </c>
      <c r="B12" s="5" t="s">
        <v>66</v>
      </c>
      <c r="C12" s="5" t="s">
        <v>59</v>
      </c>
      <c r="D12" s="6">
        <v>70</v>
      </c>
      <c r="E12" s="5" t="s">
        <v>67</v>
      </c>
      <c r="F12" s="5" t="s">
        <v>68</v>
      </c>
      <c r="G12" s="6">
        <v>95</v>
      </c>
    </row>
    <row r="13" spans="1:7" x14ac:dyDescent="0.35">
      <c r="A13" s="5" t="s">
        <v>69</v>
      </c>
      <c r="B13" s="5" t="s">
        <v>70</v>
      </c>
      <c r="C13" s="5" t="s">
        <v>59</v>
      </c>
      <c r="D13" s="6">
        <v>85</v>
      </c>
      <c r="E13" s="5" t="s">
        <v>71</v>
      </c>
      <c r="F13" s="5" t="s">
        <v>72</v>
      </c>
      <c r="G13" s="6">
        <v>90</v>
      </c>
    </row>
    <row r="14" spans="1:7" x14ac:dyDescent="0.35">
      <c r="A14" s="5" t="s">
        <v>73</v>
      </c>
      <c r="B14" s="5" t="s">
        <v>74</v>
      </c>
      <c r="C14" s="5" t="s">
        <v>59</v>
      </c>
      <c r="D14" s="6">
        <v>90</v>
      </c>
      <c r="E14" s="5" t="s">
        <v>75</v>
      </c>
      <c r="F14" s="5" t="s">
        <v>28</v>
      </c>
      <c r="G14" s="6">
        <v>90</v>
      </c>
    </row>
    <row r="15" spans="1:7" ht="25" x14ac:dyDescent="0.35">
      <c r="A15" s="5" t="s">
        <v>76</v>
      </c>
      <c r="B15" s="5" t="s">
        <v>77</v>
      </c>
      <c r="C15" s="5" t="s">
        <v>59</v>
      </c>
      <c r="D15" s="6">
        <v>75</v>
      </c>
      <c r="E15" s="5" t="s">
        <v>78</v>
      </c>
      <c r="F15" s="5" t="s">
        <v>79</v>
      </c>
      <c r="G15" s="6">
        <v>85</v>
      </c>
    </row>
    <row r="16" spans="1:7" ht="25" x14ac:dyDescent="0.35">
      <c r="A16" s="5" t="s">
        <v>80</v>
      </c>
      <c r="B16" s="5" t="s">
        <v>81</v>
      </c>
      <c r="C16" s="5" t="s">
        <v>59</v>
      </c>
      <c r="D16" s="6">
        <v>80</v>
      </c>
      <c r="E16" s="5" t="s">
        <v>82</v>
      </c>
      <c r="F16" s="5" t="s">
        <v>83</v>
      </c>
      <c r="G16" s="6">
        <v>90</v>
      </c>
    </row>
    <row r="17" spans="1:7" ht="25" x14ac:dyDescent="0.35">
      <c r="A17" s="5" t="s">
        <v>84</v>
      </c>
      <c r="B17" s="5" t="s">
        <v>85</v>
      </c>
      <c r="C17" s="5" t="s">
        <v>59</v>
      </c>
      <c r="D17" s="6">
        <v>70</v>
      </c>
      <c r="E17" s="5" t="s">
        <v>86</v>
      </c>
      <c r="F17" s="5" t="s">
        <v>87</v>
      </c>
      <c r="G17" s="6">
        <v>85</v>
      </c>
    </row>
    <row r="18" spans="1:7" ht="25" x14ac:dyDescent="0.35">
      <c r="A18" s="5" t="s">
        <v>88</v>
      </c>
      <c r="B18" s="5" t="s">
        <v>89</v>
      </c>
      <c r="C18" s="5" t="s">
        <v>41</v>
      </c>
      <c r="D18" s="6">
        <v>75</v>
      </c>
      <c r="E18" s="5" t="s">
        <v>90</v>
      </c>
      <c r="F18" s="5" t="s">
        <v>91</v>
      </c>
      <c r="G18" s="6">
        <v>85</v>
      </c>
    </row>
    <row r="19" spans="1:7" ht="25" x14ac:dyDescent="0.35">
      <c r="A19" s="5" t="s">
        <v>92</v>
      </c>
      <c r="B19" s="5" t="s">
        <v>93</v>
      </c>
      <c r="C19" s="5" t="s">
        <v>41</v>
      </c>
      <c r="D19" s="6">
        <v>90</v>
      </c>
      <c r="E19" s="5" t="s">
        <v>94</v>
      </c>
      <c r="F19" s="5" t="s">
        <v>95</v>
      </c>
      <c r="G19" s="6">
        <v>95</v>
      </c>
    </row>
    <row r="20" spans="1:7" ht="25" x14ac:dyDescent="0.35">
      <c r="A20" s="5" t="s">
        <v>96</v>
      </c>
      <c r="B20" s="5" t="s">
        <v>97</v>
      </c>
      <c r="C20" s="5" t="s">
        <v>50</v>
      </c>
      <c r="D20" s="6">
        <v>45</v>
      </c>
      <c r="E20" s="5" t="s">
        <v>98</v>
      </c>
      <c r="F20" s="5" t="s">
        <v>99</v>
      </c>
      <c r="G20" s="6">
        <v>85</v>
      </c>
    </row>
    <row r="21" spans="1:7" x14ac:dyDescent="0.35">
      <c r="A21" s="5" t="s">
        <v>100</v>
      </c>
      <c r="B21" s="5" t="s">
        <v>101</v>
      </c>
      <c r="C21" s="5" t="s">
        <v>36</v>
      </c>
      <c r="D21" s="6">
        <v>90</v>
      </c>
      <c r="E21" s="5" t="s">
        <v>102</v>
      </c>
      <c r="F21" s="5" t="s">
        <v>28</v>
      </c>
      <c r="G21" s="6">
        <v>90</v>
      </c>
    </row>
    <row r="22" spans="1:7" x14ac:dyDescent="0.35">
      <c r="A22" s="5" t="s">
        <v>103</v>
      </c>
      <c r="B22" s="5" t="s">
        <v>104</v>
      </c>
      <c r="C22" s="5" t="s">
        <v>36</v>
      </c>
      <c r="D22" s="6">
        <v>100</v>
      </c>
      <c r="E22" s="5" t="s">
        <v>105</v>
      </c>
      <c r="F22" s="5" t="s">
        <v>28</v>
      </c>
      <c r="G22" s="6">
        <v>100</v>
      </c>
    </row>
    <row r="23" spans="1:7" ht="25" x14ac:dyDescent="0.35">
      <c r="A23" s="5" t="s">
        <v>106</v>
      </c>
      <c r="B23" s="5" t="s">
        <v>107</v>
      </c>
      <c r="C23" s="5" t="s">
        <v>36</v>
      </c>
      <c r="D23" s="6">
        <v>85</v>
      </c>
      <c r="E23" s="5" t="s">
        <v>108</v>
      </c>
      <c r="F23" s="5" t="s">
        <v>109</v>
      </c>
      <c r="G23" s="6">
        <v>90</v>
      </c>
    </row>
    <row r="24" spans="1:7" ht="25" x14ac:dyDescent="0.35">
      <c r="A24" s="5" t="s">
        <v>110</v>
      </c>
      <c r="B24" s="5" t="s">
        <v>111</v>
      </c>
      <c r="C24" s="5" t="s">
        <v>36</v>
      </c>
      <c r="D24" s="6">
        <v>60</v>
      </c>
      <c r="E24" s="5" t="s">
        <v>112</v>
      </c>
      <c r="F24" s="5" t="s">
        <v>113</v>
      </c>
      <c r="G24" s="6">
        <v>85</v>
      </c>
    </row>
    <row r="26" spans="1:7" x14ac:dyDescent="0.35">
      <c r="B26" s="7" t="s">
        <v>114</v>
      </c>
      <c r="D26" s="8">
        <f>AVERAGE(D2:D24)</f>
        <v>74.782608695652172</v>
      </c>
      <c r="G26" s="8">
        <f>AVERAGE(G2:G24)</f>
        <v>87.826086956521735</v>
      </c>
    </row>
    <row r="27" spans="1:7" x14ac:dyDescent="0.35">
      <c r="B27" s="7" t="s">
        <v>115</v>
      </c>
      <c r="D27" s="7">
        <f>COUNTIF(D2:D24,"&lt;50")</f>
        <v>2</v>
      </c>
      <c r="G27" s="7">
        <f>COUNTIF(G2:G24,"&lt;50")</f>
        <v>0</v>
      </c>
    </row>
    <row r="28" spans="1:7" x14ac:dyDescent="0.35">
      <c r="B28" s="7" t="s">
        <v>116</v>
      </c>
      <c r="D28" s="7">
        <f>SUMPRODUCT(--(D2&gt;=75),1)+SUMPRODUCT(--(D5&gt;=75),1)+SUMPRODUCT(--(D7&gt;=75),1)+SUMPRODUCT(--(D19&gt;=75),1)+SUMPRODUCT(--(D20&gt;=75),1)</f>
        <v>1</v>
      </c>
      <c r="G28" s="7">
        <f>SUMPRODUCT(--(G2&gt;=75),1)+SUMPRODUCT(--(G5&gt;=75),1)+SUMPRODUCT(--(G7&gt;=75),1)+SUMPRODUCT(--(G19&gt;=75),1)+SUMPRODUCT(--(G20&gt;=75),1)</f>
        <v>5</v>
      </c>
    </row>
    <row r="31" spans="1:7" x14ac:dyDescent="0.35">
      <c r="A31" s="3" t="s">
        <v>117</v>
      </c>
    </row>
    <row r="32" spans="1:7" x14ac:dyDescent="0.35">
      <c r="A32" s="2" t="s">
        <v>118</v>
      </c>
    </row>
    <row r="33" spans="1:7" x14ac:dyDescent="0.35">
      <c r="A33" s="2" t="s">
        <v>119</v>
      </c>
    </row>
    <row r="34" spans="1:7" x14ac:dyDescent="0.35">
      <c r="A34" s="2" t="s">
        <v>120</v>
      </c>
    </row>
    <row r="35" spans="1:7" x14ac:dyDescent="0.35">
      <c r="A35" s="9" t="s">
        <v>121</v>
      </c>
    </row>
    <row r="37" spans="1:7" x14ac:dyDescent="0.35">
      <c r="B37" s="7" t="s">
        <v>122</v>
      </c>
      <c r="D37" s="7" t="str">
        <f>IF(AND(D27=0,D26&gt;=75,D28=5),"PASS","FAIL – revise business model")</f>
        <v>FAIL – revise business model</v>
      </c>
    </row>
    <row r="38" spans="1:7" x14ac:dyDescent="0.35">
      <c r="B38" s="7" t="s">
        <v>123</v>
      </c>
      <c r="G38" s="7" t="str">
        <f>IF(AND(G27=0,G26&gt;=75,G28=5),"PASS – proceed to EA/SE transformation","FAIL")</f>
        <v>PASS – proceed to EA/SE transformation</v>
      </c>
    </row>
  </sheetData>
  <conditionalFormatting sqref="D2:D24">
    <cfRule type="cellIs" dxfId="5" priority="2" operator="lessThan">
      <formula>50</formula>
    </cfRule>
    <cfRule type="cellIs" dxfId="4" priority="3" operator="between">
      <formula>50</formula>
      <formula>74</formula>
    </cfRule>
    <cfRule type="cellIs" dxfId="3" priority="4" operator="greaterThanOrEqual">
      <formula>75</formula>
    </cfRule>
  </conditionalFormatting>
  <conditionalFormatting sqref="G2:G24">
    <cfRule type="cellIs" dxfId="2" priority="5" operator="lessThan">
      <formula>50</formula>
    </cfRule>
    <cfRule type="cellIs" dxfId="1" priority="6" operator="between">
      <formula>50</formula>
      <formula>74</formula>
    </cfRule>
    <cfRule type="cellIs" dxfId="0" priority="7" operator="greaterThanOrEqual">
      <formula>75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Assessment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Hamza Bassam</cp:lastModifiedBy>
  <cp:revision>0</cp:revision>
  <dcterms:created xsi:type="dcterms:W3CDTF">2026-06-10T20:56:15Z</dcterms:created>
  <dcterms:modified xsi:type="dcterms:W3CDTF">2026-06-21T21:27:03Z</dcterms:modified>
  <cp:category/>
  <cp:contentStatus/>
</cp:coreProperties>
</file>
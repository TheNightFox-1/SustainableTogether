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amzab\Nextcloud\_Claude\projects\incose-gfse-wg\SustainableTogether\SustainableTogether Projects\Business Model\SustainaSun EMEASEC2026\"/>
    </mc:Choice>
  </mc:AlternateContent>
  <xr:revisionPtr revIDLastSave="0" documentId="8_{0FB2BF3F-EB6B-426F-95EC-F1EEFE69860D}" xr6:coauthVersionLast="47" xr6:coauthVersionMax="47" xr10:uidLastSave="{00000000-0000-0000-0000-000000000000}"/>
  <bookViews>
    <workbookView xWindow="2240" yWindow="2240" windowWidth="14400" windowHeight="8170" tabRatio="500" xr2:uid="{00000000-000D-0000-FFFF-FFFF00000000}"/>
  </bookViews>
  <sheets>
    <sheet name="README" sheetId="1" r:id="rId1"/>
    <sheet name="Assumptions" sheetId="2" r:id="rId2"/>
    <sheet name="Iteration 1" sheetId="3" r:id="rId3"/>
    <sheet name="Iteration 2" sheetId="4" r:id="rId4"/>
    <sheet name="TVcalc" sheetId="5" r:id="rId5"/>
    <sheet name="TVcalc2" sheetId="6" r:id="rId6"/>
    <sheet name="Summary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6" l="1"/>
  <c r="C13" i="6" s="1"/>
  <c r="B12" i="6"/>
  <c r="C12" i="6" s="1"/>
  <c r="B11" i="6"/>
  <c r="C11" i="6" s="1"/>
  <c r="B10" i="6"/>
  <c r="C10" i="6" s="1"/>
  <c r="B9" i="6"/>
  <c r="C9" i="6" s="1"/>
  <c r="B8" i="6"/>
  <c r="C8" i="6" s="1"/>
  <c r="B7" i="6"/>
  <c r="C7" i="6" s="1"/>
  <c r="D7" i="6" s="1"/>
  <c r="B6" i="6"/>
  <c r="C6" i="6" s="1"/>
  <c r="D6" i="6" s="1"/>
  <c r="B5" i="6"/>
  <c r="C5" i="6" s="1"/>
  <c r="D5" i="6" s="1"/>
  <c r="B4" i="6"/>
  <c r="C4" i="6" s="1"/>
  <c r="D4" i="6" s="1"/>
  <c r="B13" i="5"/>
  <c r="C13" i="5" s="1"/>
  <c r="B12" i="5"/>
  <c r="C12" i="5" s="1"/>
  <c r="B11" i="5"/>
  <c r="C11" i="5" s="1"/>
  <c r="D11" i="5" s="1"/>
  <c r="B10" i="5"/>
  <c r="C10" i="5" s="1"/>
  <c r="B9" i="5"/>
  <c r="C9" i="5" s="1"/>
  <c r="B8" i="5"/>
  <c r="C8" i="5" s="1"/>
  <c r="C7" i="5"/>
  <c r="B7" i="5"/>
  <c r="C6" i="5"/>
  <c r="B6" i="5"/>
  <c r="C5" i="5"/>
  <c r="B5" i="5"/>
  <c r="B4" i="5"/>
  <c r="C4" i="5" s="1"/>
  <c r="B27" i="4"/>
  <c r="C7" i="7" s="1"/>
  <c r="B26" i="4"/>
  <c r="D11" i="6" s="1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U17" i="4"/>
  <c r="R17" i="4"/>
  <c r="P17" i="4"/>
  <c r="O17" i="4"/>
  <c r="G17" i="4"/>
  <c r="E17" i="4"/>
  <c r="B17" i="4"/>
  <c r="Q11" i="4"/>
  <c r="N11" i="4"/>
  <c r="M11" i="4"/>
  <c r="K11" i="4"/>
  <c r="J11" i="4"/>
  <c r="H11" i="4"/>
  <c r="G11" i="4"/>
  <c r="S10" i="4"/>
  <c r="Q10" i="4"/>
  <c r="N10" i="4"/>
  <c r="L10" i="4"/>
  <c r="K10" i="4"/>
  <c r="C10" i="4"/>
  <c r="Q7" i="4"/>
  <c r="N7" i="4"/>
  <c r="M7" i="4"/>
  <c r="K7" i="4"/>
  <c r="J7" i="4"/>
  <c r="H7" i="4"/>
  <c r="G7" i="4"/>
  <c r="S6" i="4"/>
  <c r="Q6" i="4"/>
  <c r="Q8" i="4" s="1"/>
  <c r="N6" i="4"/>
  <c r="N8" i="4" s="1"/>
  <c r="L6" i="4"/>
  <c r="K6" i="4"/>
  <c r="K8" i="4" s="1"/>
  <c r="K12" i="4" s="1"/>
  <c r="C6" i="4"/>
  <c r="U5" i="4"/>
  <c r="U11" i="4" s="1"/>
  <c r="T5" i="4"/>
  <c r="T11" i="4" s="1"/>
  <c r="S5" i="4"/>
  <c r="S11" i="4" s="1"/>
  <c r="R5" i="4"/>
  <c r="Q5" i="4"/>
  <c r="Q13" i="4" s="1"/>
  <c r="P5" i="4"/>
  <c r="P13" i="4" s="1"/>
  <c r="O5" i="4"/>
  <c r="N5" i="4"/>
  <c r="N13" i="4" s="1"/>
  <c r="M5" i="4"/>
  <c r="M10" i="4" s="1"/>
  <c r="L5" i="4"/>
  <c r="L13" i="4" s="1"/>
  <c r="K5" i="4"/>
  <c r="K9" i="4" s="1"/>
  <c r="J5" i="4"/>
  <c r="J10" i="4" s="1"/>
  <c r="I5" i="4"/>
  <c r="I11" i="4" s="1"/>
  <c r="H5" i="4"/>
  <c r="H10" i="4" s="1"/>
  <c r="G5" i="4"/>
  <c r="G13" i="4" s="1"/>
  <c r="F5" i="4"/>
  <c r="F11" i="4" s="1"/>
  <c r="E5" i="4"/>
  <c r="E9" i="4" s="1"/>
  <c r="D5" i="4"/>
  <c r="D11" i="4" s="1"/>
  <c r="C5" i="4"/>
  <c r="C7" i="4" s="1"/>
  <c r="C8" i="4" s="1"/>
  <c r="B5" i="4"/>
  <c r="U4" i="4"/>
  <c r="U16" i="4" s="1"/>
  <c r="T4" i="4"/>
  <c r="T16" i="4" s="1"/>
  <c r="S4" i="4"/>
  <c r="R4" i="4"/>
  <c r="R16" i="4" s="1"/>
  <c r="Q4" i="4"/>
  <c r="Q17" i="4" s="1"/>
  <c r="P4" i="4"/>
  <c r="P16" i="4" s="1"/>
  <c r="O4" i="4"/>
  <c r="O16" i="4" s="1"/>
  <c r="N4" i="4"/>
  <c r="N17" i="4" s="1"/>
  <c r="M4" i="4"/>
  <c r="M17" i="4" s="1"/>
  <c r="L4" i="4"/>
  <c r="L17" i="4" s="1"/>
  <c r="K4" i="4"/>
  <c r="K17" i="4" s="1"/>
  <c r="J4" i="4"/>
  <c r="J17" i="4" s="1"/>
  <c r="I4" i="4"/>
  <c r="I17" i="4" s="1"/>
  <c r="H4" i="4"/>
  <c r="H17" i="4" s="1"/>
  <c r="G4" i="4"/>
  <c r="G16" i="4" s="1"/>
  <c r="F4" i="4"/>
  <c r="E4" i="4"/>
  <c r="E16" i="4" s="1"/>
  <c r="D4" i="4"/>
  <c r="D16" i="4" s="1"/>
  <c r="C4" i="4"/>
  <c r="B4" i="4"/>
  <c r="B16" i="4" s="1"/>
  <c r="B26" i="3"/>
  <c r="D5" i="5" s="1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R17" i="3"/>
  <c r="O17" i="3"/>
  <c r="M17" i="3"/>
  <c r="L17" i="3"/>
  <c r="B17" i="3"/>
  <c r="S16" i="3"/>
  <c r="P16" i="3"/>
  <c r="C16" i="3"/>
  <c r="U11" i="3"/>
  <c r="T11" i="3"/>
  <c r="N11" i="3"/>
  <c r="K11" i="3"/>
  <c r="J11" i="3"/>
  <c r="H11" i="3"/>
  <c r="G11" i="3"/>
  <c r="E11" i="3"/>
  <c r="D11" i="3"/>
  <c r="S10" i="3"/>
  <c r="Q10" i="3"/>
  <c r="P10" i="3"/>
  <c r="N10" i="3"/>
  <c r="K10" i="3"/>
  <c r="J10" i="3"/>
  <c r="I10" i="3"/>
  <c r="H10" i="3"/>
  <c r="O9" i="3"/>
  <c r="L9" i="3"/>
  <c r="P8" i="3"/>
  <c r="U7" i="3"/>
  <c r="T7" i="3"/>
  <c r="N7" i="3"/>
  <c r="K7" i="3"/>
  <c r="J7" i="3"/>
  <c r="J8" i="3" s="1"/>
  <c r="H7" i="3"/>
  <c r="G7" i="3"/>
  <c r="E7" i="3"/>
  <c r="D7" i="3"/>
  <c r="S6" i="3"/>
  <c r="Q6" i="3"/>
  <c r="P6" i="3"/>
  <c r="N6" i="3"/>
  <c r="N8" i="3" s="1"/>
  <c r="K6" i="3"/>
  <c r="K8" i="3" s="1"/>
  <c r="J6" i="3"/>
  <c r="I6" i="3"/>
  <c r="H6" i="3"/>
  <c r="H8" i="3" s="1"/>
  <c r="U5" i="3"/>
  <c r="U10" i="3" s="1"/>
  <c r="T5" i="3"/>
  <c r="T10" i="3" s="1"/>
  <c r="S5" i="3"/>
  <c r="S11" i="3" s="1"/>
  <c r="R5" i="3"/>
  <c r="R11" i="3" s="1"/>
  <c r="Q5" i="3"/>
  <c r="Q11" i="3" s="1"/>
  <c r="P5" i="3"/>
  <c r="P7" i="3" s="1"/>
  <c r="O5" i="3"/>
  <c r="N5" i="3"/>
  <c r="N13" i="3" s="1"/>
  <c r="M5" i="3"/>
  <c r="M9" i="3" s="1"/>
  <c r="L5" i="3"/>
  <c r="K5" i="3"/>
  <c r="K13" i="3" s="1"/>
  <c r="J5" i="3"/>
  <c r="J13" i="3" s="1"/>
  <c r="I5" i="3"/>
  <c r="I13" i="3" s="1"/>
  <c r="H5" i="3"/>
  <c r="H13" i="3" s="1"/>
  <c r="G5" i="3"/>
  <c r="G10" i="3" s="1"/>
  <c r="F5" i="3"/>
  <c r="F11" i="3" s="1"/>
  <c r="E5" i="3"/>
  <c r="E10" i="3" s="1"/>
  <c r="D5" i="3"/>
  <c r="D6" i="3" s="1"/>
  <c r="D8" i="3" s="1"/>
  <c r="C5" i="3"/>
  <c r="C11" i="3" s="1"/>
  <c r="B5" i="3"/>
  <c r="B6" i="3" s="1"/>
  <c r="U4" i="3"/>
  <c r="U17" i="3" s="1"/>
  <c r="T4" i="3"/>
  <c r="T17" i="3" s="1"/>
  <c r="S4" i="3"/>
  <c r="S17" i="3" s="1"/>
  <c r="R4" i="3"/>
  <c r="R16" i="3" s="1"/>
  <c r="Q4" i="3"/>
  <c r="Q16" i="3" s="1"/>
  <c r="P4" i="3"/>
  <c r="P17" i="3" s="1"/>
  <c r="O4" i="3"/>
  <c r="O16" i="3" s="1"/>
  <c r="N4" i="3"/>
  <c r="N17" i="3" s="1"/>
  <c r="M4" i="3"/>
  <c r="M16" i="3" s="1"/>
  <c r="L4" i="3"/>
  <c r="L16" i="3" s="1"/>
  <c r="K4" i="3"/>
  <c r="K17" i="3" s="1"/>
  <c r="J4" i="3"/>
  <c r="J17" i="3" s="1"/>
  <c r="I4" i="3"/>
  <c r="I17" i="3" s="1"/>
  <c r="H4" i="3"/>
  <c r="H17" i="3" s="1"/>
  <c r="G4" i="3"/>
  <c r="G17" i="3" s="1"/>
  <c r="F4" i="3"/>
  <c r="F17" i="3" s="1"/>
  <c r="E4" i="3"/>
  <c r="E17" i="3" s="1"/>
  <c r="D4" i="3"/>
  <c r="D17" i="3" s="1"/>
  <c r="C4" i="3"/>
  <c r="C17" i="3" s="1"/>
  <c r="B4" i="3"/>
  <c r="B16" i="3" s="1"/>
  <c r="L8" i="4" l="1"/>
  <c r="L12" i="4" s="1"/>
  <c r="S16" i="4"/>
  <c r="S17" i="4"/>
  <c r="O13" i="4"/>
  <c r="O11" i="4"/>
  <c r="O7" i="4"/>
  <c r="O6" i="4"/>
  <c r="O8" i="4" s="1"/>
  <c r="O10" i="4"/>
  <c r="H12" i="3"/>
  <c r="C16" i="4"/>
  <c r="C17" i="4"/>
  <c r="F16" i="4"/>
  <c r="F17" i="4"/>
  <c r="B9" i="4"/>
  <c r="B13" i="4"/>
  <c r="B11" i="4"/>
  <c r="B7" i="4"/>
  <c r="B10" i="4"/>
  <c r="B6" i="4"/>
  <c r="R13" i="4"/>
  <c r="R9" i="4"/>
  <c r="R11" i="4"/>
  <c r="R7" i="4"/>
  <c r="R10" i="4"/>
  <c r="R6" i="4"/>
  <c r="L7" i="3"/>
  <c r="L11" i="3"/>
  <c r="L10" i="3"/>
  <c r="L6" i="3"/>
  <c r="L8" i="3" s="1"/>
  <c r="L12" i="3" s="1"/>
  <c r="O11" i="3"/>
  <c r="O7" i="3"/>
  <c r="O10" i="3"/>
  <c r="O6" i="3"/>
  <c r="O8" i="3" s="1"/>
  <c r="O12" i="3" s="1"/>
  <c r="L13" i="3"/>
  <c r="K14" i="4"/>
  <c r="K15" i="4" s="1"/>
  <c r="K18" i="4"/>
  <c r="K20" i="4" s="1"/>
  <c r="K21" i="4" s="1"/>
  <c r="I8" i="3"/>
  <c r="I12" i="3" s="1"/>
  <c r="O13" i="3"/>
  <c r="O9" i="4"/>
  <c r="B8" i="3"/>
  <c r="P9" i="3"/>
  <c r="P12" i="3" s="1"/>
  <c r="P13" i="3"/>
  <c r="D16" i="3"/>
  <c r="T16" i="3"/>
  <c r="C9" i="4"/>
  <c r="C12" i="4" s="1"/>
  <c r="S9" i="4"/>
  <c r="C13" i="4"/>
  <c r="S13" i="4"/>
  <c r="D6" i="5"/>
  <c r="M6" i="3"/>
  <c r="I7" i="3"/>
  <c r="Q9" i="3"/>
  <c r="M10" i="3"/>
  <c r="I11" i="3"/>
  <c r="Q13" i="3"/>
  <c r="E16" i="3"/>
  <c r="U16" i="3"/>
  <c r="Q17" i="3"/>
  <c r="P6" i="4"/>
  <c r="P8" i="4" s="1"/>
  <c r="P12" i="4" s="1"/>
  <c r="L7" i="4"/>
  <c r="D9" i="4"/>
  <c r="T9" i="4"/>
  <c r="P10" i="4"/>
  <c r="L11" i="4"/>
  <c r="D13" i="4"/>
  <c r="T13" i="4"/>
  <c r="H16" i="4"/>
  <c r="D17" i="4"/>
  <c r="T17" i="4"/>
  <c r="D12" i="6"/>
  <c r="D12" i="5"/>
  <c r="B9" i="3"/>
  <c r="F16" i="3"/>
  <c r="I16" i="4"/>
  <c r="C9" i="3"/>
  <c r="S9" i="3"/>
  <c r="C13" i="3"/>
  <c r="S13" i="3"/>
  <c r="G16" i="3"/>
  <c r="F9" i="4"/>
  <c r="F13" i="4"/>
  <c r="J16" i="4"/>
  <c r="D7" i="5"/>
  <c r="D13" i="6"/>
  <c r="M7" i="3"/>
  <c r="E9" i="3"/>
  <c r="U9" i="3"/>
  <c r="M11" i="3"/>
  <c r="E13" i="3"/>
  <c r="U13" i="3"/>
  <c r="I16" i="3"/>
  <c r="D6" i="4"/>
  <c r="T6" i="4"/>
  <c r="P7" i="4"/>
  <c r="H9" i="4"/>
  <c r="D10" i="4"/>
  <c r="T10" i="4"/>
  <c r="P11" i="4"/>
  <c r="H13" i="4"/>
  <c r="L16" i="4"/>
  <c r="D13" i="5"/>
  <c r="D8" i="6"/>
  <c r="B16" i="6" s="1"/>
  <c r="U19" i="4" s="1"/>
  <c r="B13" i="3"/>
  <c r="D9" i="3"/>
  <c r="R6" i="3"/>
  <c r="F9" i="3"/>
  <c r="B10" i="3"/>
  <c r="R10" i="3"/>
  <c r="F13" i="3"/>
  <c r="J16" i="3"/>
  <c r="E6" i="4"/>
  <c r="U6" i="4"/>
  <c r="I9" i="4"/>
  <c r="E10" i="4"/>
  <c r="U10" i="4"/>
  <c r="I13" i="4"/>
  <c r="M16" i="4"/>
  <c r="D8" i="5"/>
  <c r="F6" i="4"/>
  <c r="F8" i="4" s="1"/>
  <c r="F12" i="4" s="1"/>
  <c r="J9" i="4"/>
  <c r="F10" i="4"/>
  <c r="J13" i="4"/>
  <c r="N16" i="4"/>
  <c r="D9" i="6"/>
  <c r="E13" i="4"/>
  <c r="D13" i="3"/>
  <c r="H16" i="3"/>
  <c r="C6" i="3"/>
  <c r="C10" i="3"/>
  <c r="T6" i="3"/>
  <c r="T8" i="3" s="1"/>
  <c r="T12" i="3" s="1"/>
  <c r="H9" i="3"/>
  <c r="P11" i="3"/>
  <c r="G6" i="4"/>
  <c r="G8" i="4" s="1"/>
  <c r="S7" i="4"/>
  <c r="S8" i="4" s="1"/>
  <c r="S12" i="4" s="1"/>
  <c r="G10" i="4"/>
  <c r="K13" i="4"/>
  <c r="E6" i="3"/>
  <c r="E8" i="3" s="1"/>
  <c r="U6" i="3"/>
  <c r="U8" i="3" s="1"/>
  <c r="Q7" i="3"/>
  <c r="Q8" i="3" s="1"/>
  <c r="I9" i="3"/>
  <c r="B27" i="3"/>
  <c r="B7" i="7" s="1"/>
  <c r="H6" i="4"/>
  <c r="H8" i="4" s="1"/>
  <c r="D7" i="4"/>
  <c r="T7" i="4"/>
  <c r="L9" i="4"/>
  <c r="D9" i="5"/>
  <c r="R9" i="3"/>
  <c r="R13" i="3"/>
  <c r="U9" i="4"/>
  <c r="U13" i="4"/>
  <c r="T13" i="3"/>
  <c r="K16" i="4"/>
  <c r="G9" i="3"/>
  <c r="D10" i="3"/>
  <c r="D12" i="3" s="1"/>
  <c r="C11" i="4"/>
  <c r="F6" i="3"/>
  <c r="B7" i="3"/>
  <c r="R7" i="3"/>
  <c r="J9" i="3"/>
  <c r="J12" i="3" s="1"/>
  <c r="F10" i="3"/>
  <c r="B11" i="3"/>
  <c r="N16" i="3"/>
  <c r="I6" i="4"/>
  <c r="I8" i="4" s="1"/>
  <c r="E7" i="4"/>
  <c r="U7" i="4"/>
  <c r="M9" i="4"/>
  <c r="I10" i="4"/>
  <c r="E11" i="4"/>
  <c r="M13" i="4"/>
  <c r="Q16" i="4"/>
  <c r="D4" i="5"/>
  <c r="B6" i="7"/>
  <c r="T9" i="3"/>
  <c r="G9" i="4"/>
  <c r="G13" i="3"/>
  <c r="K16" i="3"/>
  <c r="G6" i="3"/>
  <c r="G8" i="3" s="1"/>
  <c r="G12" i="3" s="1"/>
  <c r="C7" i="3"/>
  <c r="S7" i="3"/>
  <c r="S8" i="3" s="1"/>
  <c r="S12" i="3" s="1"/>
  <c r="K9" i="3"/>
  <c r="K12" i="3" s="1"/>
  <c r="J6" i="4"/>
  <c r="J8" i="4" s="1"/>
  <c r="J12" i="4" s="1"/>
  <c r="F7" i="4"/>
  <c r="N9" i="4"/>
  <c r="N12" i="4" s="1"/>
  <c r="D10" i="6"/>
  <c r="C6" i="7"/>
  <c r="D10" i="5"/>
  <c r="M13" i="3"/>
  <c r="P9" i="4"/>
  <c r="F7" i="3"/>
  <c r="N9" i="3"/>
  <c r="N12" i="3" s="1"/>
  <c r="M6" i="4"/>
  <c r="M8" i="4" s="1"/>
  <c r="M12" i="4" s="1"/>
  <c r="I7" i="4"/>
  <c r="Q9" i="4"/>
  <c r="Q12" i="4" s="1"/>
  <c r="J14" i="3" l="1"/>
  <c r="J15" i="3" s="1"/>
  <c r="J18" i="3" s="1"/>
  <c r="J20" i="3" s="1"/>
  <c r="J21" i="3" s="1"/>
  <c r="N14" i="3"/>
  <c r="N15" i="3" s="1"/>
  <c r="N18" i="3" s="1"/>
  <c r="N20" i="3" s="1"/>
  <c r="N21" i="3" s="1"/>
  <c r="D14" i="3"/>
  <c r="D15" i="3" s="1"/>
  <c r="D18" i="3"/>
  <c r="D20" i="3" s="1"/>
  <c r="D21" i="3" s="1"/>
  <c r="P18" i="3"/>
  <c r="P20" i="3" s="1"/>
  <c r="P21" i="3" s="1"/>
  <c r="P14" i="3"/>
  <c r="P15" i="3" s="1"/>
  <c r="N14" i="4"/>
  <c r="N15" i="4" s="1"/>
  <c r="N18" i="4" s="1"/>
  <c r="N20" i="4" s="1"/>
  <c r="N21" i="4" s="1"/>
  <c r="K14" i="3"/>
  <c r="K15" i="3" s="1"/>
  <c r="K18" i="3"/>
  <c r="K20" i="3" s="1"/>
  <c r="K21" i="3" s="1"/>
  <c r="C14" i="4"/>
  <c r="C15" i="4" s="1"/>
  <c r="C18" i="4" s="1"/>
  <c r="C20" i="4" s="1"/>
  <c r="C21" i="4" s="1"/>
  <c r="Q14" i="4"/>
  <c r="Q15" i="4" s="1"/>
  <c r="Q18" i="4" s="1"/>
  <c r="Q20" i="4" s="1"/>
  <c r="Q21" i="4" s="1"/>
  <c r="F14" i="4"/>
  <c r="F15" i="4" s="1"/>
  <c r="F18" i="4" s="1"/>
  <c r="F20" i="4" s="1"/>
  <c r="F21" i="4" s="1"/>
  <c r="B12" i="3"/>
  <c r="S14" i="4"/>
  <c r="S15" i="4" s="1"/>
  <c r="S18" i="4" s="1"/>
  <c r="S20" i="4" s="1"/>
  <c r="S21" i="4" s="1"/>
  <c r="R8" i="4"/>
  <c r="R12" i="4" s="1"/>
  <c r="T14" i="3"/>
  <c r="T15" i="3" s="1"/>
  <c r="T18" i="3" s="1"/>
  <c r="T20" i="3" s="1"/>
  <c r="T21" i="3" s="1"/>
  <c r="M8" i="3"/>
  <c r="M12" i="3" s="1"/>
  <c r="G14" i="3"/>
  <c r="G15" i="3" s="1"/>
  <c r="G18" i="3" s="1"/>
  <c r="G20" i="3" s="1"/>
  <c r="G21" i="3" s="1"/>
  <c r="C8" i="3"/>
  <c r="C12" i="3" s="1"/>
  <c r="U8" i="4"/>
  <c r="U12" i="4" s="1"/>
  <c r="B8" i="4"/>
  <c r="B12" i="4" s="1"/>
  <c r="G12" i="4"/>
  <c r="O18" i="3"/>
  <c r="O20" i="3" s="1"/>
  <c r="O21" i="3" s="1"/>
  <c r="O14" i="3"/>
  <c r="O15" i="3" s="1"/>
  <c r="M14" i="4"/>
  <c r="M15" i="4" s="1"/>
  <c r="M18" i="4" s="1"/>
  <c r="M20" i="4" s="1"/>
  <c r="M21" i="4" s="1"/>
  <c r="J14" i="4"/>
  <c r="J15" i="4" s="1"/>
  <c r="J18" i="4" s="1"/>
  <c r="J20" i="4" s="1"/>
  <c r="J21" i="4" s="1"/>
  <c r="I14" i="3"/>
  <c r="I15" i="3" s="1"/>
  <c r="I18" i="3"/>
  <c r="I20" i="3" s="1"/>
  <c r="I21" i="3" s="1"/>
  <c r="I12" i="4"/>
  <c r="O12" i="4"/>
  <c r="E8" i="4"/>
  <c r="E12" i="4" s="1"/>
  <c r="H12" i="4"/>
  <c r="S14" i="3"/>
  <c r="S15" i="3" s="1"/>
  <c r="S18" i="3"/>
  <c r="S20" i="3" s="1"/>
  <c r="S21" i="3" s="1"/>
  <c r="T8" i="4"/>
  <c r="T12" i="4" s="1"/>
  <c r="F8" i="3"/>
  <c r="F12" i="3" s="1"/>
  <c r="D8" i="4"/>
  <c r="D12" i="4" s="1"/>
  <c r="P18" i="4"/>
  <c r="P20" i="4" s="1"/>
  <c r="P21" i="4" s="1"/>
  <c r="P14" i="4"/>
  <c r="P15" i="4" s="1"/>
  <c r="U12" i="3"/>
  <c r="H14" i="3"/>
  <c r="H15" i="3" s="1"/>
  <c r="H18" i="3"/>
  <c r="H20" i="3" s="1"/>
  <c r="H21" i="3" s="1"/>
  <c r="L14" i="3"/>
  <c r="L15" i="3" s="1"/>
  <c r="L18" i="3" s="1"/>
  <c r="L20" i="3" s="1"/>
  <c r="L21" i="3" s="1"/>
  <c r="L18" i="4"/>
  <c r="L20" i="4" s="1"/>
  <c r="L21" i="4" s="1"/>
  <c r="L14" i="4"/>
  <c r="L15" i="4" s="1"/>
  <c r="E12" i="3"/>
  <c r="B16" i="5"/>
  <c r="U19" i="3" s="1"/>
  <c r="Q12" i="3"/>
  <c r="R8" i="3"/>
  <c r="R12" i="3" s="1"/>
  <c r="D14" i="4" l="1"/>
  <c r="D15" i="4" s="1"/>
  <c r="D18" i="4" s="1"/>
  <c r="D20" i="4" s="1"/>
  <c r="D21" i="4" s="1"/>
  <c r="T14" i="4"/>
  <c r="T15" i="4" s="1"/>
  <c r="T18" i="4" s="1"/>
  <c r="T20" i="4" s="1"/>
  <c r="T21" i="4" s="1"/>
  <c r="E14" i="4"/>
  <c r="E15" i="4" s="1"/>
  <c r="E18" i="4" s="1"/>
  <c r="E20" i="4" s="1"/>
  <c r="E21" i="4" s="1"/>
  <c r="U14" i="4"/>
  <c r="U15" i="4" s="1"/>
  <c r="U18" i="4" s="1"/>
  <c r="U20" i="4" s="1"/>
  <c r="U21" i="4" s="1"/>
  <c r="C14" i="3"/>
  <c r="C15" i="3" s="1"/>
  <c r="C18" i="3"/>
  <c r="C20" i="3" s="1"/>
  <c r="C21" i="3" s="1"/>
  <c r="M14" i="3"/>
  <c r="M15" i="3" s="1"/>
  <c r="M18" i="3" s="1"/>
  <c r="M20" i="3" s="1"/>
  <c r="M21" i="3" s="1"/>
  <c r="E14" i="3"/>
  <c r="E15" i="3" s="1"/>
  <c r="E18" i="3" s="1"/>
  <c r="E20" i="3" s="1"/>
  <c r="E21" i="3" s="1"/>
  <c r="O14" i="4"/>
  <c r="O15" i="4" s="1"/>
  <c r="O18" i="4" s="1"/>
  <c r="O20" i="4" s="1"/>
  <c r="O21" i="4" s="1"/>
  <c r="I14" i="4"/>
  <c r="I15" i="4" s="1"/>
  <c r="I18" i="4" s="1"/>
  <c r="I20" i="4" s="1"/>
  <c r="I21" i="4" s="1"/>
  <c r="F14" i="3"/>
  <c r="F15" i="3" s="1"/>
  <c r="F18" i="3" s="1"/>
  <c r="F20" i="3" s="1"/>
  <c r="F21" i="3" s="1"/>
  <c r="R14" i="3"/>
  <c r="R15" i="3" s="1"/>
  <c r="R18" i="3" s="1"/>
  <c r="R20" i="3" s="1"/>
  <c r="R21" i="3" s="1"/>
  <c r="B14" i="4"/>
  <c r="B15" i="4" s="1"/>
  <c r="B18" i="4" s="1"/>
  <c r="B20" i="4" s="1"/>
  <c r="G14" i="4"/>
  <c r="G15" i="4" s="1"/>
  <c r="G18" i="4" s="1"/>
  <c r="G20" i="4" s="1"/>
  <c r="G21" i="4" s="1"/>
  <c r="Q14" i="3"/>
  <c r="Q15" i="3" s="1"/>
  <c r="Q18" i="3" s="1"/>
  <c r="Q20" i="3" s="1"/>
  <c r="Q21" i="3" s="1"/>
  <c r="R14" i="4"/>
  <c r="R15" i="4" s="1"/>
  <c r="R18" i="4" s="1"/>
  <c r="R20" i="4" s="1"/>
  <c r="R21" i="4" s="1"/>
  <c r="B14" i="3"/>
  <c r="B15" i="3" s="1"/>
  <c r="B18" i="3" s="1"/>
  <c r="B20" i="3" s="1"/>
  <c r="H14" i="4"/>
  <c r="H15" i="4" s="1"/>
  <c r="H18" i="4" s="1"/>
  <c r="H20" i="4" s="1"/>
  <c r="H21" i="4" s="1"/>
  <c r="U14" i="3"/>
  <c r="U15" i="3" s="1"/>
  <c r="U18" i="3" s="1"/>
  <c r="U20" i="3" s="1"/>
  <c r="U21" i="3" s="1"/>
  <c r="B25" i="4" l="1"/>
  <c r="C5" i="7" s="1"/>
  <c r="B21" i="4"/>
  <c r="B24" i="4" s="1"/>
  <c r="B21" i="3"/>
  <c r="B24" i="3" s="1"/>
  <c r="B25" i="3"/>
  <c r="B5" i="7" s="1"/>
  <c r="C4" i="7" l="1"/>
  <c r="B28" i="4"/>
  <c r="C8" i="7" s="1"/>
  <c r="B28" i="3"/>
  <c r="B8" i="7" s="1"/>
  <c r="B4" i="7"/>
</calcChain>
</file>

<file path=xl/sharedStrings.xml><?xml version="1.0" encoding="utf-8"?>
<sst xmlns="http://schemas.openxmlformats.org/spreadsheetml/2006/main" count="153" uniqueCount="108">
  <si>
    <t>SustainableTogether – Financial Verification Model (Proof of Concept)</t>
  </si>
  <si>
    <t>Purpose</t>
  </si>
  <si>
    <t>Early economic verification of the SustainableTogether photovoltaic product-as-a-service (PaaS) business model,</t>
  </si>
  <si>
    <t>as part of the FBC–EA–SE integration framework (paper: Toward Net-Positive Systems).</t>
  </si>
  <si>
    <t>The model tests whether the business model concept is economically viable BEFORE any architectural or engineering commitment.</t>
  </si>
  <si>
    <t>How to read this workbook</t>
  </si>
  <si>
    <t>Assumptions: all input parameters for both iterations (blue = inputs you can change).</t>
  </si>
  <si>
    <t>Iteration 1: conventional one-to-one conversion of the PV sales business into a lease model. RESULT: FAILS economic verification.</t>
  </si>
  <si>
    <t>Iteration 2: business model adjusted after financial AND Future-Fit verification (circular procurement, C2C design,</t>
  </si>
  <si>
    <t xml:space="preserve">   flexibility aggregation, longer service life). RESULT: PASSES economic verification.</t>
  </si>
  <si>
    <t>Summary: key results and verification verdicts.</t>
  </si>
  <si>
    <t>Scope and disclaimer</t>
  </si>
  <si>
    <t>Illustrative proof-of-concept with fictitious but plausibility-checked assumptions (German residential PV market, 2026).</t>
  </si>
  <si>
    <t>Not investment advice. Companion files: SustainableTogether_FBMC_Analysis.docx, SustainableTogether_FFBB_Assessment.xlsx.</t>
  </si>
  <si>
    <t>Parameter</t>
  </si>
  <si>
    <t>Unit</t>
  </si>
  <si>
    <t>Iteration 1</t>
  </si>
  <si>
    <t>Iteration 2</t>
  </si>
  <si>
    <t>Rationale / link to verification loop</t>
  </si>
  <si>
    <t>Planning horizon</t>
  </si>
  <si>
    <t>years</t>
  </si>
  <si>
    <t>Fleet model horizon</t>
  </si>
  <si>
    <t>Fleet build-up period</t>
  </si>
  <si>
    <t>New installations in years 1–10 only</t>
  </si>
  <si>
    <t>New systems per year</t>
  </si>
  <si>
    <t>#</t>
  </si>
  <si>
    <t>From FBC: ~200 new customers per year (canvas, Benefits)</t>
  </si>
  <si>
    <t>System size</t>
  </si>
  <si>
    <t>kWp / kWh</t>
  </si>
  <si>
    <t>8 / 10</t>
  </si>
  <si>
    <t>Residential reference system with storage</t>
  </si>
  <si>
    <t>CAPEX per system</t>
  </si>
  <si>
    <t>EUR</t>
  </si>
  <si>
    <t>It.2: 30% refurbished module pool, wholesale procurement, demountable C2C mounting (FFBB BE04/BE19 actions)</t>
  </si>
  <si>
    <t>Customer acquisition cost</t>
  </si>
  <si>
    <t>EUR/system</t>
  </si>
  <si>
    <t>It.2: community channel and word-of-mouth (FBC Channels)</t>
  </si>
  <si>
    <t>Lease fee</t>
  </si>
  <si>
    <t>EUR/month</t>
  </si>
  <si>
    <t>It.2 incl. full service guarantee; still below comparable market offers (~150–180 EUR/mo)</t>
  </si>
  <si>
    <t>Grid / flexibility revenue</t>
  </si>
  <si>
    <t>EUR/system/yr</t>
  </si>
  <si>
    <t>It.2: aggregation of storage into virtual power plant (FBC value co-creation: stabilize the grid)</t>
  </si>
  <si>
    <t>O&amp;M cost</t>
  </si>
  <si>
    <t>It.2: demountable design eases service and repair</t>
  </si>
  <si>
    <t>Sustainability opex</t>
  </si>
  <si>
    <t>It.2: electric service vans, take-back reserve, living-wage clause, supplier audits (FFBB actions)</t>
  </si>
  <si>
    <t>SG&amp;A fixed</t>
  </si>
  <si>
    <t>EUR/yr</t>
  </si>
  <si>
    <t>Core team</t>
  </si>
  <si>
    <t>SG&amp;A variable</t>
  </si>
  <si>
    <t>Billing, support, software</t>
  </si>
  <si>
    <t>System service life</t>
  </si>
  <si>
    <t>It.2: design for longevity and second life (FFBB BE19)</t>
  </si>
  <si>
    <t>WACC (discount rate)</t>
  </si>
  <si>
    <t>%</t>
  </si>
  <si>
    <t>Illustrative cost of capital</t>
  </si>
  <si>
    <t>Tax rate</t>
  </si>
  <si>
    <t>Simplified corporate tax</t>
  </si>
  <si>
    <t>Terminal value haircut</t>
  </si>
  <si>
    <t>Conservative factor on remaining lease margins at year 20</t>
  </si>
  <si>
    <t>All figures in EUR unless stated. Years across columns.</t>
  </si>
  <si>
    <t>Year</t>
  </si>
  <si>
    <t>New systems</t>
  </si>
  <si>
    <t>Cumulative fleet</t>
  </si>
  <si>
    <t>Lease revenue</t>
  </si>
  <si>
    <t>Grid/flex revenue</t>
  </si>
  <si>
    <t>Total revenue</t>
  </si>
  <si>
    <t>SG&amp;A</t>
  </si>
  <si>
    <t>EBITDA</t>
  </si>
  <si>
    <t>Depreciation</t>
  </si>
  <si>
    <t>EBT</t>
  </si>
  <si>
    <t>Tax</t>
  </si>
  <si>
    <t>CAPEX</t>
  </si>
  <si>
    <t>Customer acquisition</t>
  </si>
  <si>
    <t>Free cash flow</t>
  </si>
  <si>
    <t>Terminal value</t>
  </si>
  <si>
    <t>Net cash flow</t>
  </si>
  <si>
    <t>Discounted CF</t>
  </si>
  <si>
    <t>Results</t>
  </si>
  <si>
    <t>NPV @ WACC (EUR)</t>
  </si>
  <si>
    <t>IRR</t>
  </si>
  <si>
    <t>Margin per system (EUR/yr)</t>
  </si>
  <si>
    <t>Simple payback per system (yrs)</t>
  </si>
  <si>
    <t>Verification verdict</t>
  </si>
  <si>
    <t>Terminal value at year 20: PV of remaining lease margins per installation cohort (haircut applied)</t>
  </si>
  <si>
    <t>Cohort (install yr)</t>
  </si>
  <si>
    <t>Remaining life @ yr 20</t>
  </si>
  <si>
    <t>Annuity factor</t>
  </si>
  <si>
    <t>TV contribution</t>
  </si>
  <si>
    <t>Total TV</t>
  </si>
  <si>
    <t>(used in model)</t>
  </si>
  <si>
    <t>Verification Summary – SustainableTogether PV Product-as-a-Service</t>
  </si>
  <si>
    <t>Indicator</t>
  </si>
  <si>
    <t>Iteration 1 (initial concept)</t>
  </si>
  <si>
    <t>Iteration 2 (adjusted concept)</t>
  </si>
  <si>
    <t>NPV @ 6% WACC (EUR)</t>
  </si>
  <si>
    <t>Simple payback (yrs)</t>
  </si>
  <si>
    <t>Economic verdict</t>
  </si>
  <si>
    <t>Future-Fit verdict (see SustainableTogether_FFBB_Assessment.xlsx)</t>
  </si>
  <si>
    <t>FAIL: 2 of 23 Break-Even Goals below 50% fitness</t>
  </si>
  <si>
    <t>PASS: no goal below 50%, avg. fitness 88%</t>
  </si>
  <si>
    <t>Key Iteration 2 adjustments (driven by both verifications):</t>
  </si>
  <si>
    <t>• 30% refurbished module pool + audited wholesale procurement (CAPEX −24%, FFBB BE03/BE04)</t>
  </si>
  <si>
    <t>• Cradle-to-cradle demountable design, 24-yr service life + second life (FFBB BE19, lower O&amp;M)</t>
  </si>
  <si>
    <t>• Storage aggregated into virtual power plant: flexibility revenue 140 EUR/system/yr (grid stabilization)</t>
  </si>
  <si>
    <t>• Lease repositioned at 149 EUR/month incl. full service guarantee (honest comms, FFBB BE15)</t>
  </si>
  <si>
    <t>• Sustainability opex 90 EUR/system/yr: e-vans, take-back reserve, living-wage clause, audits (BE06/BE07/BE11)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</si>
</sst>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i/>
      <sz val="9"/>
      <name val="Arial"/>
      <charset val="1"/>
    </font>
    <font>
      <sz val="11"/>
      <color theme="1"/>
      <name val="Arial"/>
      <charset val="1"/>
    </font>
    <font>
      <sz val="11"/>
      <color rgb="FF008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3" fontId="4" fillId="0" borderId="0" xfId="0" applyNumberFormat="1" applyFont="1"/>
    <xf numFmtId="3" fontId="4" fillId="3" borderId="0" xfId="0" applyNumberFormat="1" applyFont="1" applyFill="1"/>
    <xf numFmtId="164" fontId="4" fillId="0" borderId="0" xfId="0" applyNumberFormat="1" applyFont="1"/>
    <xf numFmtId="0" fontId="5" fillId="0" borderId="0" xfId="0" applyFont="1"/>
    <xf numFmtId="0" fontId="6" fillId="0" borderId="0" xfId="0" applyFont="1"/>
    <xf numFmtId="3" fontId="6" fillId="0" borderId="0" xfId="0" applyNumberFormat="1" applyFont="1"/>
    <xf numFmtId="164" fontId="3" fillId="0" borderId="0" xfId="0" applyNumberFormat="1" applyFont="1"/>
    <xf numFmtId="165" fontId="6" fillId="0" borderId="0" xfId="0" applyNumberFormat="1" applyFont="1"/>
    <xf numFmtId="3" fontId="3" fillId="0" borderId="0" xfId="0" applyNumberFormat="1" applyFont="1"/>
    <xf numFmtId="3" fontId="7" fillId="0" borderId="0" xfId="0" applyNumberFormat="1" applyFont="1"/>
    <xf numFmtId="164" fontId="7" fillId="0" borderId="0" xfId="0" applyNumberFormat="1" applyFont="1"/>
    <xf numFmtId="165" fontId="7" fillId="0" borderId="0" xfId="0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zoomScaleNormal="100" workbookViewId="0"/>
  </sheetViews>
  <sheetFormatPr defaultColWidth="8.7265625" defaultRowHeight="14.5" x14ac:dyDescent="0.35"/>
  <cols>
    <col min="1" max="1" width="120" customWidth="1"/>
  </cols>
  <sheetData>
    <row r="1" spans="1:1" ht="17.5" customHeight="1" x14ac:dyDescent="0.4">
      <c r="A1" s="1" t="s">
        <v>0</v>
      </c>
    </row>
    <row r="2" spans="1:1" ht="15" customHeight="1" x14ac:dyDescent="0.35">
      <c r="A2" s="2"/>
    </row>
    <row r="3" spans="1:1" ht="15" customHeight="1" x14ac:dyDescent="0.35">
      <c r="A3" s="3" t="s">
        <v>1</v>
      </c>
    </row>
    <row r="4" spans="1:1" ht="15" customHeight="1" x14ac:dyDescent="0.35">
      <c r="A4" s="2" t="s">
        <v>2</v>
      </c>
    </row>
    <row r="5" spans="1:1" ht="15" customHeight="1" x14ac:dyDescent="0.35">
      <c r="A5" s="2" t="s">
        <v>3</v>
      </c>
    </row>
    <row r="6" spans="1:1" ht="15" customHeight="1" x14ac:dyDescent="0.35">
      <c r="A6" s="2" t="s">
        <v>4</v>
      </c>
    </row>
    <row r="7" spans="1:1" ht="15" customHeight="1" x14ac:dyDescent="0.35">
      <c r="A7" s="2"/>
    </row>
    <row r="8" spans="1:1" ht="15" customHeight="1" x14ac:dyDescent="0.35">
      <c r="A8" s="3" t="s">
        <v>5</v>
      </c>
    </row>
    <row r="9" spans="1:1" ht="15" customHeight="1" x14ac:dyDescent="0.35">
      <c r="A9" s="2" t="s">
        <v>6</v>
      </c>
    </row>
    <row r="10" spans="1:1" ht="15" customHeight="1" x14ac:dyDescent="0.35">
      <c r="A10" s="2" t="s">
        <v>7</v>
      </c>
    </row>
    <row r="11" spans="1:1" ht="15" customHeight="1" x14ac:dyDescent="0.35">
      <c r="A11" s="2" t="s">
        <v>8</v>
      </c>
    </row>
    <row r="12" spans="1:1" ht="15" customHeight="1" x14ac:dyDescent="0.35">
      <c r="A12" s="2" t="s">
        <v>9</v>
      </c>
    </row>
    <row r="13" spans="1:1" ht="15" customHeight="1" x14ac:dyDescent="0.35">
      <c r="A13" s="2" t="s">
        <v>10</v>
      </c>
    </row>
    <row r="14" spans="1:1" ht="15" customHeight="1" x14ac:dyDescent="0.35">
      <c r="A14" s="2"/>
    </row>
    <row r="15" spans="1:1" ht="15" customHeight="1" x14ac:dyDescent="0.35">
      <c r="A15" s="3" t="s">
        <v>11</v>
      </c>
    </row>
    <row r="16" spans="1:1" ht="15" customHeight="1" x14ac:dyDescent="0.35">
      <c r="A16" s="2" t="s">
        <v>12</v>
      </c>
    </row>
    <row r="17" spans="1:1" ht="15" customHeight="1" x14ac:dyDescent="0.35">
      <c r="A17" s="2" t="s"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zoomScaleNormal="100" workbookViewId="0"/>
  </sheetViews>
  <sheetFormatPr defaultColWidth="8.7265625" defaultRowHeight="14.5" x14ac:dyDescent="0.35"/>
  <cols>
    <col min="1" max="1" width="28" customWidth="1"/>
    <col min="2" max="2" width="14" customWidth="1"/>
    <col min="3" max="4" width="13" customWidth="1"/>
    <col min="5" max="5" width="95" customWidth="1"/>
  </cols>
  <sheetData>
    <row r="1" spans="1:5" ht="15" customHeight="1" x14ac:dyDescent="0.3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</row>
    <row r="2" spans="1:5" ht="15" customHeight="1" x14ac:dyDescent="0.35">
      <c r="A2" s="2" t="s">
        <v>19</v>
      </c>
      <c r="B2" s="2" t="s">
        <v>20</v>
      </c>
      <c r="C2" s="5">
        <v>20</v>
      </c>
      <c r="D2" s="5">
        <v>20</v>
      </c>
      <c r="E2" s="2" t="s">
        <v>21</v>
      </c>
    </row>
    <row r="3" spans="1:5" ht="15" customHeight="1" x14ac:dyDescent="0.35">
      <c r="A3" s="2" t="s">
        <v>22</v>
      </c>
      <c r="B3" s="2" t="s">
        <v>20</v>
      </c>
      <c r="C3" s="5">
        <v>10</v>
      </c>
      <c r="D3" s="5">
        <v>10</v>
      </c>
      <c r="E3" s="2" t="s">
        <v>23</v>
      </c>
    </row>
    <row r="4" spans="1:5" ht="15" customHeight="1" x14ac:dyDescent="0.35">
      <c r="A4" s="2" t="s">
        <v>24</v>
      </c>
      <c r="B4" s="2" t="s">
        <v>25</v>
      </c>
      <c r="C4" s="5">
        <v>200</v>
      </c>
      <c r="D4" s="5">
        <v>200</v>
      </c>
      <c r="E4" s="2" t="s">
        <v>26</v>
      </c>
    </row>
    <row r="5" spans="1:5" ht="15" customHeight="1" x14ac:dyDescent="0.35">
      <c r="A5" s="2" t="s">
        <v>27</v>
      </c>
      <c r="B5" s="2" t="s">
        <v>28</v>
      </c>
      <c r="C5" s="2" t="s">
        <v>29</v>
      </c>
      <c r="D5" s="2" t="s">
        <v>29</v>
      </c>
      <c r="E5" s="2" t="s">
        <v>30</v>
      </c>
    </row>
    <row r="6" spans="1:5" ht="15" customHeight="1" x14ac:dyDescent="0.35">
      <c r="A6" s="2" t="s">
        <v>31</v>
      </c>
      <c r="B6" s="2" t="s">
        <v>32</v>
      </c>
      <c r="C6" s="6">
        <v>16500</v>
      </c>
      <c r="D6" s="6">
        <v>12500</v>
      </c>
      <c r="E6" s="2" t="s">
        <v>33</v>
      </c>
    </row>
    <row r="7" spans="1:5" ht="15" customHeight="1" x14ac:dyDescent="0.35">
      <c r="A7" s="2" t="s">
        <v>34</v>
      </c>
      <c r="B7" s="2" t="s">
        <v>35</v>
      </c>
      <c r="C7" s="5">
        <v>600</v>
      </c>
      <c r="D7" s="5">
        <v>400</v>
      </c>
      <c r="E7" s="2" t="s">
        <v>36</v>
      </c>
    </row>
    <row r="8" spans="1:5" ht="15" customHeight="1" x14ac:dyDescent="0.35">
      <c r="A8" s="2" t="s">
        <v>37</v>
      </c>
      <c r="B8" s="2" t="s">
        <v>38</v>
      </c>
      <c r="C8" s="6">
        <v>119</v>
      </c>
      <c r="D8" s="6">
        <v>149</v>
      </c>
      <c r="E8" s="2" t="s">
        <v>39</v>
      </c>
    </row>
    <row r="9" spans="1:5" ht="15" customHeight="1" x14ac:dyDescent="0.35">
      <c r="A9" s="2" t="s">
        <v>40</v>
      </c>
      <c r="B9" s="2" t="s">
        <v>41</v>
      </c>
      <c r="C9" s="6">
        <v>60</v>
      </c>
      <c r="D9" s="6">
        <v>140</v>
      </c>
      <c r="E9" s="2" t="s">
        <v>42</v>
      </c>
    </row>
    <row r="10" spans="1:5" ht="15" customHeight="1" x14ac:dyDescent="0.35">
      <c r="A10" s="2" t="s">
        <v>43</v>
      </c>
      <c r="B10" s="2" t="s">
        <v>41</v>
      </c>
      <c r="C10" s="5">
        <v>345</v>
      </c>
      <c r="D10" s="5">
        <v>320</v>
      </c>
      <c r="E10" s="2" t="s">
        <v>44</v>
      </c>
    </row>
    <row r="11" spans="1:5" ht="15" customHeight="1" x14ac:dyDescent="0.35">
      <c r="A11" s="2" t="s">
        <v>45</v>
      </c>
      <c r="B11" s="2" t="s">
        <v>41</v>
      </c>
      <c r="C11" s="5">
        <v>0</v>
      </c>
      <c r="D11" s="5">
        <v>90</v>
      </c>
      <c r="E11" s="2" t="s">
        <v>46</v>
      </c>
    </row>
    <row r="12" spans="1:5" ht="15" customHeight="1" x14ac:dyDescent="0.35">
      <c r="A12" s="2" t="s">
        <v>47</v>
      </c>
      <c r="B12" s="2" t="s">
        <v>48</v>
      </c>
      <c r="C12" s="5">
        <v>250000</v>
      </c>
      <c r="D12" s="5">
        <v>250000</v>
      </c>
      <c r="E12" s="2" t="s">
        <v>49</v>
      </c>
    </row>
    <row r="13" spans="1:5" ht="15" customHeight="1" x14ac:dyDescent="0.35">
      <c r="A13" s="2" t="s">
        <v>50</v>
      </c>
      <c r="B13" s="2" t="s">
        <v>41</v>
      </c>
      <c r="C13" s="5">
        <v>60</v>
      </c>
      <c r="D13" s="5">
        <v>60</v>
      </c>
      <c r="E13" s="2" t="s">
        <v>51</v>
      </c>
    </row>
    <row r="14" spans="1:5" ht="15" customHeight="1" x14ac:dyDescent="0.35">
      <c r="A14" s="2" t="s">
        <v>52</v>
      </c>
      <c r="B14" s="2" t="s">
        <v>20</v>
      </c>
      <c r="C14" s="6">
        <v>20</v>
      </c>
      <c r="D14" s="6">
        <v>24</v>
      </c>
      <c r="E14" s="2" t="s">
        <v>53</v>
      </c>
    </row>
    <row r="15" spans="1:5" ht="15" customHeight="1" x14ac:dyDescent="0.35">
      <c r="A15" s="2" t="s">
        <v>54</v>
      </c>
      <c r="B15" s="2" t="s">
        <v>55</v>
      </c>
      <c r="C15" s="7">
        <v>0.06</v>
      </c>
      <c r="D15" s="7">
        <v>0.06</v>
      </c>
      <c r="E15" s="2" t="s">
        <v>56</v>
      </c>
    </row>
    <row r="16" spans="1:5" ht="15" customHeight="1" x14ac:dyDescent="0.35">
      <c r="A16" s="2" t="s">
        <v>57</v>
      </c>
      <c r="B16" s="2" t="s">
        <v>55</v>
      </c>
      <c r="C16" s="7">
        <v>0.3</v>
      </c>
      <c r="D16" s="7">
        <v>0.3</v>
      </c>
      <c r="E16" s="2" t="s">
        <v>58</v>
      </c>
    </row>
    <row r="17" spans="1:5" ht="15" customHeight="1" x14ac:dyDescent="0.35">
      <c r="A17" s="2" t="s">
        <v>59</v>
      </c>
      <c r="B17" s="2" t="s">
        <v>55</v>
      </c>
      <c r="C17" s="7">
        <v>0.8</v>
      </c>
      <c r="D17" s="7">
        <v>0.8</v>
      </c>
      <c r="E17" s="2" t="s">
        <v>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8"/>
  <sheetViews>
    <sheetView zoomScaleNormal="100" workbookViewId="0"/>
  </sheetViews>
  <sheetFormatPr defaultColWidth="8.7265625" defaultRowHeight="14.5" x14ac:dyDescent="0.35"/>
  <cols>
    <col min="1" max="1" width="26" customWidth="1"/>
    <col min="2" max="21" width="11" customWidth="1"/>
  </cols>
  <sheetData>
    <row r="1" spans="1:21" ht="15" customHeight="1" x14ac:dyDescent="0.35">
      <c r="A1" s="8" t="s">
        <v>61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15" customHeight="1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spans="1:21" ht="15" customHeight="1" x14ac:dyDescent="0.35">
      <c r="A3" s="2" t="s">
        <v>62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</row>
    <row r="4" spans="1:21" ht="15" customHeight="1" x14ac:dyDescent="0.35">
      <c r="A4" s="2" t="s">
        <v>63</v>
      </c>
      <c r="B4" s="10">
        <f>IF(B3&lt;=Assumptions!$C$3,Assumptions!$C$4,0)</f>
        <v>200</v>
      </c>
      <c r="C4" s="10">
        <f>IF(C3&lt;=Assumptions!$C$3,Assumptions!$C$4,0)</f>
        <v>200</v>
      </c>
      <c r="D4" s="10">
        <f>IF(D3&lt;=Assumptions!$C$3,Assumptions!$C$4,0)</f>
        <v>200</v>
      </c>
      <c r="E4" s="10">
        <f>IF(E3&lt;=Assumptions!$C$3,Assumptions!$C$4,0)</f>
        <v>200</v>
      </c>
      <c r="F4" s="10">
        <f>IF(F3&lt;=Assumptions!$C$3,Assumptions!$C$4,0)</f>
        <v>200</v>
      </c>
      <c r="G4" s="10">
        <f>IF(G3&lt;=Assumptions!$C$3,Assumptions!$C$4,0)</f>
        <v>200</v>
      </c>
      <c r="H4" s="10">
        <f>IF(H3&lt;=Assumptions!$C$3,Assumptions!$C$4,0)</f>
        <v>200</v>
      </c>
      <c r="I4" s="10">
        <f>IF(I3&lt;=Assumptions!$C$3,Assumptions!$C$4,0)</f>
        <v>200</v>
      </c>
      <c r="J4" s="10">
        <f>IF(J3&lt;=Assumptions!$C$3,Assumptions!$C$4,0)</f>
        <v>200</v>
      </c>
      <c r="K4" s="10">
        <f>IF(K3&lt;=Assumptions!$C$3,Assumptions!$C$4,0)</f>
        <v>200</v>
      </c>
      <c r="L4" s="10">
        <f>IF(L3&lt;=Assumptions!$C$3,Assumptions!$C$4,0)</f>
        <v>0</v>
      </c>
      <c r="M4" s="10">
        <f>IF(M3&lt;=Assumptions!$C$3,Assumptions!$C$4,0)</f>
        <v>0</v>
      </c>
      <c r="N4" s="10">
        <f>IF(N3&lt;=Assumptions!$C$3,Assumptions!$C$4,0)</f>
        <v>0</v>
      </c>
      <c r="O4" s="10">
        <f>IF(O3&lt;=Assumptions!$C$3,Assumptions!$C$4,0)</f>
        <v>0</v>
      </c>
      <c r="P4" s="10">
        <f>IF(P3&lt;=Assumptions!$C$3,Assumptions!$C$4,0)</f>
        <v>0</v>
      </c>
      <c r="Q4" s="10">
        <f>IF(Q3&lt;=Assumptions!$C$3,Assumptions!$C$4,0)</f>
        <v>0</v>
      </c>
      <c r="R4" s="10">
        <f>IF(R3&lt;=Assumptions!$C$3,Assumptions!$C$4,0)</f>
        <v>0</v>
      </c>
      <c r="S4" s="10">
        <f>IF(S3&lt;=Assumptions!$C$3,Assumptions!$C$4,0)</f>
        <v>0</v>
      </c>
      <c r="T4" s="10">
        <f>IF(T3&lt;=Assumptions!$C$3,Assumptions!$C$4,0)</f>
        <v>0</v>
      </c>
      <c r="U4" s="10">
        <f>IF(U3&lt;=Assumptions!$C$3,Assumptions!$C$4,0)</f>
        <v>0</v>
      </c>
    </row>
    <row r="5" spans="1:21" ht="15" customHeight="1" x14ac:dyDescent="0.35">
      <c r="A5" s="2" t="s">
        <v>64</v>
      </c>
      <c r="B5" s="10">
        <f>Assumptions!$C$4*MIN(B3,Assumptions!$C$3)</f>
        <v>200</v>
      </c>
      <c r="C5" s="10">
        <f>Assumptions!$C$4*MIN(C3,Assumptions!$C$3)</f>
        <v>400</v>
      </c>
      <c r="D5" s="10">
        <f>Assumptions!$C$4*MIN(D3,Assumptions!$C$3)</f>
        <v>600</v>
      </c>
      <c r="E5" s="10">
        <f>Assumptions!$C$4*MIN(E3,Assumptions!$C$3)</f>
        <v>800</v>
      </c>
      <c r="F5" s="10">
        <f>Assumptions!$C$4*MIN(F3,Assumptions!$C$3)</f>
        <v>1000</v>
      </c>
      <c r="G5" s="10">
        <f>Assumptions!$C$4*MIN(G3,Assumptions!$C$3)</f>
        <v>1200</v>
      </c>
      <c r="H5" s="10">
        <f>Assumptions!$C$4*MIN(H3,Assumptions!$C$3)</f>
        <v>1400</v>
      </c>
      <c r="I5" s="10">
        <f>Assumptions!$C$4*MIN(I3,Assumptions!$C$3)</f>
        <v>1600</v>
      </c>
      <c r="J5" s="10">
        <f>Assumptions!$C$4*MIN(J3,Assumptions!$C$3)</f>
        <v>1800</v>
      </c>
      <c r="K5" s="10">
        <f>Assumptions!$C$4*MIN(K3,Assumptions!$C$3)</f>
        <v>2000</v>
      </c>
      <c r="L5" s="10">
        <f>Assumptions!$C$4*MIN(L3,Assumptions!$C$3)</f>
        <v>2000</v>
      </c>
      <c r="M5" s="10">
        <f>Assumptions!$C$4*MIN(M3,Assumptions!$C$3)</f>
        <v>2000</v>
      </c>
      <c r="N5" s="10">
        <f>Assumptions!$C$4*MIN(N3,Assumptions!$C$3)</f>
        <v>2000</v>
      </c>
      <c r="O5" s="10">
        <f>Assumptions!$C$4*MIN(O3,Assumptions!$C$3)</f>
        <v>2000</v>
      </c>
      <c r="P5" s="10">
        <f>Assumptions!$C$4*MIN(P3,Assumptions!$C$3)</f>
        <v>2000</v>
      </c>
      <c r="Q5" s="10">
        <f>Assumptions!$C$4*MIN(Q3,Assumptions!$C$3)</f>
        <v>2000</v>
      </c>
      <c r="R5" s="10">
        <f>Assumptions!$C$4*MIN(R3,Assumptions!$C$3)</f>
        <v>2000</v>
      </c>
      <c r="S5" s="10">
        <f>Assumptions!$C$4*MIN(S3,Assumptions!$C$3)</f>
        <v>2000</v>
      </c>
      <c r="T5" s="10">
        <f>Assumptions!$C$4*MIN(T3,Assumptions!$C$3)</f>
        <v>2000</v>
      </c>
      <c r="U5" s="10">
        <f>Assumptions!$C$4*MIN(U3,Assumptions!$C$3)</f>
        <v>2000</v>
      </c>
    </row>
    <row r="6" spans="1:21" ht="15" customHeight="1" x14ac:dyDescent="0.35">
      <c r="A6" s="2" t="s">
        <v>65</v>
      </c>
      <c r="B6" s="10">
        <f>B5*Assumptions!$C$8*12</f>
        <v>285600</v>
      </c>
      <c r="C6" s="10">
        <f>C5*Assumptions!$C$8*12</f>
        <v>571200</v>
      </c>
      <c r="D6" s="10">
        <f>D5*Assumptions!$C$8*12</f>
        <v>856800</v>
      </c>
      <c r="E6" s="10">
        <f>E5*Assumptions!$C$8*12</f>
        <v>1142400</v>
      </c>
      <c r="F6" s="10">
        <f>F5*Assumptions!$C$8*12</f>
        <v>1428000</v>
      </c>
      <c r="G6" s="10">
        <f>G5*Assumptions!$C$8*12</f>
        <v>1713600</v>
      </c>
      <c r="H6" s="10">
        <f>H5*Assumptions!$C$8*12</f>
        <v>1999200</v>
      </c>
      <c r="I6" s="10">
        <f>I5*Assumptions!$C$8*12</f>
        <v>2284800</v>
      </c>
      <c r="J6" s="10">
        <f>J5*Assumptions!$C$8*12</f>
        <v>2570400</v>
      </c>
      <c r="K6" s="10">
        <f>K5*Assumptions!$C$8*12</f>
        <v>2856000</v>
      </c>
      <c r="L6" s="10">
        <f>L5*Assumptions!$C$8*12</f>
        <v>2856000</v>
      </c>
      <c r="M6" s="10">
        <f>M5*Assumptions!$C$8*12</f>
        <v>2856000</v>
      </c>
      <c r="N6" s="10">
        <f>N5*Assumptions!$C$8*12</f>
        <v>2856000</v>
      </c>
      <c r="O6" s="10">
        <f>O5*Assumptions!$C$8*12</f>
        <v>2856000</v>
      </c>
      <c r="P6" s="10">
        <f>P5*Assumptions!$C$8*12</f>
        <v>2856000</v>
      </c>
      <c r="Q6" s="10">
        <f>Q5*Assumptions!$C$8*12</f>
        <v>2856000</v>
      </c>
      <c r="R6" s="10">
        <f>R5*Assumptions!$C$8*12</f>
        <v>2856000</v>
      </c>
      <c r="S6" s="10">
        <f>S5*Assumptions!$C$8*12</f>
        <v>2856000</v>
      </c>
      <c r="T6" s="10">
        <f>T5*Assumptions!$C$8*12</f>
        <v>2856000</v>
      </c>
      <c r="U6" s="10">
        <f>U5*Assumptions!$C$8*12</f>
        <v>2856000</v>
      </c>
    </row>
    <row r="7" spans="1:21" ht="15" customHeight="1" x14ac:dyDescent="0.35">
      <c r="A7" s="2" t="s">
        <v>66</v>
      </c>
      <c r="B7" s="10">
        <f>B5*Assumptions!$C$9</f>
        <v>12000</v>
      </c>
      <c r="C7" s="10">
        <f>C5*Assumptions!$C$9</f>
        <v>24000</v>
      </c>
      <c r="D7" s="10">
        <f>D5*Assumptions!$C$9</f>
        <v>36000</v>
      </c>
      <c r="E7" s="10">
        <f>E5*Assumptions!$C$9</f>
        <v>48000</v>
      </c>
      <c r="F7" s="10">
        <f>F5*Assumptions!$C$9</f>
        <v>60000</v>
      </c>
      <c r="G7" s="10">
        <f>G5*Assumptions!$C$9</f>
        <v>72000</v>
      </c>
      <c r="H7" s="10">
        <f>H5*Assumptions!$C$9</f>
        <v>84000</v>
      </c>
      <c r="I7" s="10">
        <f>I5*Assumptions!$C$9</f>
        <v>96000</v>
      </c>
      <c r="J7" s="10">
        <f>J5*Assumptions!$C$9</f>
        <v>108000</v>
      </c>
      <c r="K7" s="10">
        <f>K5*Assumptions!$C$9</f>
        <v>120000</v>
      </c>
      <c r="L7" s="10">
        <f>L5*Assumptions!$C$9</f>
        <v>120000</v>
      </c>
      <c r="M7" s="10">
        <f>M5*Assumptions!$C$9</f>
        <v>120000</v>
      </c>
      <c r="N7" s="10">
        <f>N5*Assumptions!$C$9</f>
        <v>120000</v>
      </c>
      <c r="O7" s="10">
        <f>O5*Assumptions!$C$9</f>
        <v>120000</v>
      </c>
      <c r="P7" s="10">
        <f>P5*Assumptions!$C$9</f>
        <v>120000</v>
      </c>
      <c r="Q7" s="10">
        <f>Q5*Assumptions!$C$9</f>
        <v>120000</v>
      </c>
      <c r="R7" s="10">
        <f>R5*Assumptions!$C$9</f>
        <v>120000</v>
      </c>
      <c r="S7" s="10">
        <f>S5*Assumptions!$C$9</f>
        <v>120000</v>
      </c>
      <c r="T7" s="10">
        <f>T5*Assumptions!$C$9</f>
        <v>120000</v>
      </c>
      <c r="U7" s="10">
        <f>U5*Assumptions!$C$9</f>
        <v>120000</v>
      </c>
    </row>
    <row r="8" spans="1:21" ht="15" customHeight="1" x14ac:dyDescent="0.35">
      <c r="A8" s="3" t="s">
        <v>67</v>
      </c>
      <c r="B8" s="10">
        <f t="shared" ref="B8:U8" si="0">B6+B7</f>
        <v>297600</v>
      </c>
      <c r="C8" s="10">
        <f t="shared" si="0"/>
        <v>595200</v>
      </c>
      <c r="D8" s="10">
        <f t="shared" si="0"/>
        <v>892800</v>
      </c>
      <c r="E8" s="10">
        <f t="shared" si="0"/>
        <v>1190400</v>
      </c>
      <c r="F8" s="10">
        <f t="shared" si="0"/>
        <v>1488000</v>
      </c>
      <c r="G8" s="10">
        <f t="shared" si="0"/>
        <v>1785600</v>
      </c>
      <c r="H8" s="10">
        <f t="shared" si="0"/>
        <v>2083200</v>
      </c>
      <c r="I8" s="10">
        <f t="shared" si="0"/>
        <v>2380800</v>
      </c>
      <c r="J8" s="10">
        <f t="shared" si="0"/>
        <v>2678400</v>
      </c>
      <c r="K8" s="10">
        <f t="shared" si="0"/>
        <v>2976000</v>
      </c>
      <c r="L8" s="10">
        <f t="shared" si="0"/>
        <v>2976000</v>
      </c>
      <c r="M8" s="10">
        <f t="shared" si="0"/>
        <v>2976000</v>
      </c>
      <c r="N8" s="10">
        <f t="shared" si="0"/>
        <v>2976000</v>
      </c>
      <c r="O8" s="10">
        <f t="shared" si="0"/>
        <v>2976000</v>
      </c>
      <c r="P8" s="10">
        <f t="shared" si="0"/>
        <v>2976000</v>
      </c>
      <c r="Q8" s="10">
        <f t="shared" si="0"/>
        <v>2976000</v>
      </c>
      <c r="R8" s="10">
        <f t="shared" si="0"/>
        <v>2976000</v>
      </c>
      <c r="S8" s="10">
        <f t="shared" si="0"/>
        <v>2976000</v>
      </c>
      <c r="T8" s="10">
        <f t="shared" si="0"/>
        <v>2976000</v>
      </c>
      <c r="U8" s="10">
        <f t="shared" si="0"/>
        <v>2976000</v>
      </c>
    </row>
    <row r="9" spans="1:21" ht="15" customHeight="1" x14ac:dyDescent="0.35">
      <c r="A9" s="2" t="s">
        <v>43</v>
      </c>
      <c r="B9" s="10">
        <f>-B5*Assumptions!$C$10</f>
        <v>-69000</v>
      </c>
      <c r="C9" s="10">
        <f>-C5*Assumptions!$C$10</f>
        <v>-138000</v>
      </c>
      <c r="D9" s="10">
        <f>-D5*Assumptions!$C$10</f>
        <v>-207000</v>
      </c>
      <c r="E9" s="10">
        <f>-E5*Assumptions!$C$10</f>
        <v>-276000</v>
      </c>
      <c r="F9" s="10">
        <f>-F5*Assumptions!$C$10</f>
        <v>-345000</v>
      </c>
      <c r="G9" s="10">
        <f>-G5*Assumptions!$C$10</f>
        <v>-414000</v>
      </c>
      <c r="H9" s="10">
        <f>-H5*Assumptions!$C$10</f>
        <v>-483000</v>
      </c>
      <c r="I9" s="10">
        <f>-I5*Assumptions!$C$10</f>
        <v>-552000</v>
      </c>
      <c r="J9" s="10">
        <f>-J5*Assumptions!$C$10</f>
        <v>-621000</v>
      </c>
      <c r="K9" s="10">
        <f>-K5*Assumptions!$C$10</f>
        <v>-690000</v>
      </c>
      <c r="L9" s="10">
        <f>-L5*Assumptions!$C$10</f>
        <v>-690000</v>
      </c>
      <c r="M9" s="10">
        <f>-M5*Assumptions!$C$10</f>
        <v>-690000</v>
      </c>
      <c r="N9" s="10">
        <f>-N5*Assumptions!$C$10</f>
        <v>-690000</v>
      </c>
      <c r="O9" s="10">
        <f>-O5*Assumptions!$C$10</f>
        <v>-690000</v>
      </c>
      <c r="P9" s="10">
        <f>-P5*Assumptions!$C$10</f>
        <v>-690000</v>
      </c>
      <c r="Q9" s="10">
        <f>-Q5*Assumptions!$C$10</f>
        <v>-690000</v>
      </c>
      <c r="R9" s="10">
        <f>-R5*Assumptions!$C$10</f>
        <v>-690000</v>
      </c>
      <c r="S9" s="10">
        <f>-S5*Assumptions!$C$10</f>
        <v>-690000</v>
      </c>
      <c r="T9" s="10">
        <f>-T5*Assumptions!$C$10</f>
        <v>-690000</v>
      </c>
      <c r="U9" s="10">
        <f>-U5*Assumptions!$C$10</f>
        <v>-690000</v>
      </c>
    </row>
    <row r="10" spans="1:21" ht="15" customHeight="1" x14ac:dyDescent="0.35">
      <c r="A10" s="2" t="s">
        <v>45</v>
      </c>
      <c r="B10" s="10">
        <f>-B5*Assumptions!$C$11</f>
        <v>0</v>
      </c>
      <c r="C10" s="10">
        <f>-C5*Assumptions!$C$11</f>
        <v>0</v>
      </c>
      <c r="D10" s="10">
        <f>-D5*Assumptions!$C$11</f>
        <v>0</v>
      </c>
      <c r="E10" s="10">
        <f>-E5*Assumptions!$C$11</f>
        <v>0</v>
      </c>
      <c r="F10" s="10">
        <f>-F5*Assumptions!$C$11</f>
        <v>0</v>
      </c>
      <c r="G10" s="10">
        <f>-G5*Assumptions!$C$11</f>
        <v>0</v>
      </c>
      <c r="H10" s="10">
        <f>-H5*Assumptions!$C$11</f>
        <v>0</v>
      </c>
      <c r="I10" s="10">
        <f>-I5*Assumptions!$C$11</f>
        <v>0</v>
      </c>
      <c r="J10" s="10">
        <f>-J5*Assumptions!$C$11</f>
        <v>0</v>
      </c>
      <c r="K10" s="10">
        <f>-K5*Assumptions!$C$11</f>
        <v>0</v>
      </c>
      <c r="L10" s="10">
        <f>-L5*Assumptions!$C$11</f>
        <v>0</v>
      </c>
      <c r="M10" s="10">
        <f>-M5*Assumptions!$C$11</f>
        <v>0</v>
      </c>
      <c r="N10" s="10">
        <f>-N5*Assumptions!$C$11</f>
        <v>0</v>
      </c>
      <c r="O10" s="10">
        <f>-O5*Assumptions!$C$11</f>
        <v>0</v>
      </c>
      <c r="P10" s="10">
        <f>-P5*Assumptions!$C$11</f>
        <v>0</v>
      </c>
      <c r="Q10" s="10">
        <f>-Q5*Assumptions!$C$11</f>
        <v>0</v>
      </c>
      <c r="R10" s="10">
        <f>-R5*Assumptions!$C$11</f>
        <v>0</v>
      </c>
      <c r="S10" s="10">
        <f>-S5*Assumptions!$C$11</f>
        <v>0</v>
      </c>
      <c r="T10" s="10">
        <f>-T5*Assumptions!$C$11</f>
        <v>0</v>
      </c>
      <c r="U10" s="10">
        <f>-U5*Assumptions!$C$11</f>
        <v>0</v>
      </c>
    </row>
    <row r="11" spans="1:21" ht="15" customHeight="1" x14ac:dyDescent="0.35">
      <c r="A11" s="2" t="s">
        <v>68</v>
      </c>
      <c r="B11" s="10">
        <f>-(Assumptions!$C$12+Assumptions!$C$13*B5)</f>
        <v>-262000</v>
      </c>
      <c r="C11" s="10">
        <f>-(Assumptions!$C$12+Assumptions!$C$13*C5)</f>
        <v>-274000</v>
      </c>
      <c r="D11" s="10">
        <f>-(Assumptions!$C$12+Assumptions!$C$13*D5)</f>
        <v>-286000</v>
      </c>
      <c r="E11" s="10">
        <f>-(Assumptions!$C$12+Assumptions!$C$13*E5)</f>
        <v>-298000</v>
      </c>
      <c r="F11" s="10">
        <f>-(Assumptions!$C$12+Assumptions!$C$13*F5)</f>
        <v>-310000</v>
      </c>
      <c r="G11" s="10">
        <f>-(Assumptions!$C$12+Assumptions!$C$13*G5)</f>
        <v>-322000</v>
      </c>
      <c r="H11" s="10">
        <f>-(Assumptions!$C$12+Assumptions!$C$13*H5)</f>
        <v>-334000</v>
      </c>
      <c r="I11" s="10">
        <f>-(Assumptions!$C$12+Assumptions!$C$13*I5)</f>
        <v>-346000</v>
      </c>
      <c r="J11" s="10">
        <f>-(Assumptions!$C$12+Assumptions!$C$13*J5)</f>
        <v>-358000</v>
      </c>
      <c r="K11" s="10">
        <f>-(Assumptions!$C$12+Assumptions!$C$13*K5)</f>
        <v>-370000</v>
      </c>
      <c r="L11" s="10">
        <f>-(Assumptions!$C$12+Assumptions!$C$13*L5)</f>
        <v>-370000</v>
      </c>
      <c r="M11" s="10">
        <f>-(Assumptions!$C$12+Assumptions!$C$13*M5)</f>
        <v>-370000</v>
      </c>
      <c r="N11" s="10">
        <f>-(Assumptions!$C$12+Assumptions!$C$13*N5)</f>
        <v>-370000</v>
      </c>
      <c r="O11" s="10">
        <f>-(Assumptions!$C$12+Assumptions!$C$13*O5)</f>
        <v>-370000</v>
      </c>
      <c r="P11" s="10">
        <f>-(Assumptions!$C$12+Assumptions!$C$13*P5)</f>
        <v>-370000</v>
      </c>
      <c r="Q11" s="10">
        <f>-(Assumptions!$C$12+Assumptions!$C$13*Q5)</f>
        <v>-370000</v>
      </c>
      <c r="R11" s="10">
        <f>-(Assumptions!$C$12+Assumptions!$C$13*R5)</f>
        <v>-370000</v>
      </c>
      <c r="S11" s="10">
        <f>-(Assumptions!$C$12+Assumptions!$C$13*S5)</f>
        <v>-370000</v>
      </c>
      <c r="T11" s="10">
        <f>-(Assumptions!$C$12+Assumptions!$C$13*T5)</f>
        <v>-370000</v>
      </c>
      <c r="U11" s="10">
        <f>-(Assumptions!$C$12+Assumptions!$C$13*U5)</f>
        <v>-370000</v>
      </c>
    </row>
    <row r="12" spans="1:21" ht="15" customHeight="1" x14ac:dyDescent="0.35">
      <c r="A12" s="3" t="s">
        <v>69</v>
      </c>
      <c r="B12" s="10">
        <f t="shared" ref="B12:U12" si="1">B8+B9+B10+B11</f>
        <v>-33400</v>
      </c>
      <c r="C12" s="10">
        <f t="shared" si="1"/>
        <v>183200</v>
      </c>
      <c r="D12" s="10">
        <f t="shared" si="1"/>
        <v>399800</v>
      </c>
      <c r="E12" s="10">
        <f t="shared" si="1"/>
        <v>616400</v>
      </c>
      <c r="F12" s="10">
        <f t="shared" si="1"/>
        <v>833000</v>
      </c>
      <c r="G12" s="10">
        <f t="shared" si="1"/>
        <v>1049600</v>
      </c>
      <c r="H12" s="10">
        <f t="shared" si="1"/>
        <v>1266200</v>
      </c>
      <c r="I12" s="10">
        <f t="shared" si="1"/>
        <v>1482800</v>
      </c>
      <c r="J12" s="10">
        <f t="shared" si="1"/>
        <v>1699400</v>
      </c>
      <c r="K12" s="10">
        <f t="shared" si="1"/>
        <v>1916000</v>
      </c>
      <c r="L12" s="10">
        <f t="shared" si="1"/>
        <v>1916000</v>
      </c>
      <c r="M12" s="10">
        <f t="shared" si="1"/>
        <v>1916000</v>
      </c>
      <c r="N12" s="10">
        <f t="shared" si="1"/>
        <v>1916000</v>
      </c>
      <c r="O12" s="10">
        <f t="shared" si="1"/>
        <v>1916000</v>
      </c>
      <c r="P12" s="10">
        <f t="shared" si="1"/>
        <v>1916000</v>
      </c>
      <c r="Q12" s="10">
        <f t="shared" si="1"/>
        <v>1916000</v>
      </c>
      <c r="R12" s="10">
        <f t="shared" si="1"/>
        <v>1916000</v>
      </c>
      <c r="S12" s="10">
        <f t="shared" si="1"/>
        <v>1916000</v>
      </c>
      <c r="T12" s="10">
        <f t="shared" si="1"/>
        <v>1916000</v>
      </c>
      <c r="U12" s="10">
        <f t="shared" si="1"/>
        <v>1916000</v>
      </c>
    </row>
    <row r="13" spans="1:21" ht="15" customHeight="1" x14ac:dyDescent="0.35">
      <c r="A13" s="2" t="s">
        <v>70</v>
      </c>
      <c r="B13" s="10">
        <f>-Assumptions!$C$6*B5/Assumptions!$C$14</f>
        <v>-165000</v>
      </c>
      <c r="C13" s="10">
        <f>-Assumptions!$C$6*C5/Assumptions!$C$14</f>
        <v>-330000</v>
      </c>
      <c r="D13" s="10">
        <f>-Assumptions!$C$6*D5/Assumptions!$C$14</f>
        <v>-495000</v>
      </c>
      <c r="E13" s="10">
        <f>-Assumptions!$C$6*E5/Assumptions!$C$14</f>
        <v>-660000</v>
      </c>
      <c r="F13" s="10">
        <f>-Assumptions!$C$6*F5/Assumptions!$C$14</f>
        <v>-825000</v>
      </c>
      <c r="G13" s="10">
        <f>-Assumptions!$C$6*G5/Assumptions!$C$14</f>
        <v>-990000</v>
      </c>
      <c r="H13" s="10">
        <f>-Assumptions!$C$6*H5/Assumptions!$C$14</f>
        <v>-1155000</v>
      </c>
      <c r="I13" s="10">
        <f>-Assumptions!$C$6*I5/Assumptions!$C$14</f>
        <v>-1320000</v>
      </c>
      <c r="J13" s="10">
        <f>-Assumptions!$C$6*J5/Assumptions!$C$14</f>
        <v>-1485000</v>
      </c>
      <c r="K13" s="10">
        <f>-Assumptions!$C$6*K5/Assumptions!$C$14</f>
        <v>-1650000</v>
      </c>
      <c r="L13" s="10">
        <f>-Assumptions!$C$6*L5/Assumptions!$C$14</f>
        <v>-1650000</v>
      </c>
      <c r="M13" s="10">
        <f>-Assumptions!$C$6*M5/Assumptions!$C$14</f>
        <v>-1650000</v>
      </c>
      <c r="N13" s="10">
        <f>-Assumptions!$C$6*N5/Assumptions!$C$14</f>
        <v>-1650000</v>
      </c>
      <c r="O13" s="10">
        <f>-Assumptions!$C$6*O5/Assumptions!$C$14</f>
        <v>-1650000</v>
      </c>
      <c r="P13" s="10">
        <f>-Assumptions!$C$6*P5/Assumptions!$C$14</f>
        <v>-1650000</v>
      </c>
      <c r="Q13" s="10">
        <f>-Assumptions!$C$6*Q5/Assumptions!$C$14</f>
        <v>-1650000</v>
      </c>
      <c r="R13" s="10">
        <f>-Assumptions!$C$6*R5/Assumptions!$C$14</f>
        <v>-1650000</v>
      </c>
      <c r="S13" s="10">
        <f>-Assumptions!$C$6*S5/Assumptions!$C$14</f>
        <v>-1650000</v>
      </c>
      <c r="T13" s="10">
        <f>-Assumptions!$C$6*T5/Assumptions!$C$14</f>
        <v>-1650000</v>
      </c>
      <c r="U13" s="10">
        <f>-Assumptions!$C$6*U5/Assumptions!$C$14</f>
        <v>-1650000</v>
      </c>
    </row>
    <row r="14" spans="1:21" ht="15" customHeight="1" x14ac:dyDescent="0.35">
      <c r="A14" s="2" t="s">
        <v>71</v>
      </c>
      <c r="B14" s="10">
        <f t="shared" ref="B14:U14" si="2">B12+B13</f>
        <v>-198400</v>
      </c>
      <c r="C14" s="10">
        <f t="shared" si="2"/>
        <v>-146800</v>
      </c>
      <c r="D14" s="10">
        <f t="shared" si="2"/>
        <v>-95200</v>
      </c>
      <c r="E14" s="10">
        <f t="shared" si="2"/>
        <v>-43600</v>
      </c>
      <c r="F14" s="10">
        <f t="shared" si="2"/>
        <v>8000</v>
      </c>
      <c r="G14" s="10">
        <f t="shared" si="2"/>
        <v>59600</v>
      </c>
      <c r="H14" s="10">
        <f t="shared" si="2"/>
        <v>111200</v>
      </c>
      <c r="I14" s="10">
        <f t="shared" si="2"/>
        <v>162800</v>
      </c>
      <c r="J14" s="10">
        <f t="shared" si="2"/>
        <v>214400</v>
      </c>
      <c r="K14" s="10">
        <f t="shared" si="2"/>
        <v>266000</v>
      </c>
      <c r="L14" s="10">
        <f t="shared" si="2"/>
        <v>266000</v>
      </c>
      <c r="M14" s="10">
        <f t="shared" si="2"/>
        <v>266000</v>
      </c>
      <c r="N14" s="10">
        <f t="shared" si="2"/>
        <v>266000</v>
      </c>
      <c r="O14" s="10">
        <f t="shared" si="2"/>
        <v>266000</v>
      </c>
      <c r="P14" s="10">
        <f t="shared" si="2"/>
        <v>266000</v>
      </c>
      <c r="Q14" s="10">
        <f t="shared" si="2"/>
        <v>266000</v>
      </c>
      <c r="R14" s="10">
        <f t="shared" si="2"/>
        <v>266000</v>
      </c>
      <c r="S14" s="10">
        <f t="shared" si="2"/>
        <v>266000</v>
      </c>
      <c r="T14" s="10">
        <f t="shared" si="2"/>
        <v>266000</v>
      </c>
      <c r="U14" s="10">
        <f t="shared" si="2"/>
        <v>266000</v>
      </c>
    </row>
    <row r="15" spans="1:21" ht="15" customHeight="1" x14ac:dyDescent="0.35">
      <c r="A15" s="2" t="s">
        <v>72</v>
      </c>
      <c r="B15" s="10">
        <f>-MAX(0,B14)*Assumptions!$C$16</f>
        <v>0</v>
      </c>
      <c r="C15" s="10">
        <f>-MAX(0,C14)*Assumptions!$C$16</f>
        <v>0</v>
      </c>
      <c r="D15" s="10">
        <f>-MAX(0,D14)*Assumptions!$C$16</f>
        <v>0</v>
      </c>
      <c r="E15" s="10">
        <f>-MAX(0,E14)*Assumptions!$C$16</f>
        <v>0</v>
      </c>
      <c r="F15" s="10">
        <f>-MAX(0,F14)*Assumptions!$C$16</f>
        <v>-2400</v>
      </c>
      <c r="G15" s="10">
        <f>-MAX(0,G14)*Assumptions!$C$16</f>
        <v>-17880</v>
      </c>
      <c r="H15" s="10">
        <f>-MAX(0,H14)*Assumptions!$C$16</f>
        <v>-33360</v>
      </c>
      <c r="I15" s="10">
        <f>-MAX(0,I14)*Assumptions!$C$16</f>
        <v>-48840</v>
      </c>
      <c r="J15" s="10">
        <f>-MAX(0,J14)*Assumptions!$C$16</f>
        <v>-64320</v>
      </c>
      <c r="K15" s="10">
        <f>-MAX(0,K14)*Assumptions!$C$16</f>
        <v>-79800</v>
      </c>
      <c r="L15" s="10">
        <f>-MAX(0,L14)*Assumptions!$C$16</f>
        <v>-79800</v>
      </c>
      <c r="M15" s="10">
        <f>-MAX(0,M14)*Assumptions!$C$16</f>
        <v>-79800</v>
      </c>
      <c r="N15" s="10">
        <f>-MAX(0,N14)*Assumptions!$C$16</f>
        <v>-79800</v>
      </c>
      <c r="O15" s="10">
        <f>-MAX(0,O14)*Assumptions!$C$16</f>
        <v>-79800</v>
      </c>
      <c r="P15" s="10">
        <f>-MAX(0,P14)*Assumptions!$C$16</f>
        <v>-79800</v>
      </c>
      <c r="Q15" s="10">
        <f>-MAX(0,Q14)*Assumptions!$C$16</f>
        <v>-79800</v>
      </c>
      <c r="R15" s="10">
        <f>-MAX(0,R14)*Assumptions!$C$16</f>
        <v>-79800</v>
      </c>
      <c r="S15" s="10">
        <f>-MAX(0,S14)*Assumptions!$C$16</f>
        <v>-79800</v>
      </c>
      <c r="T15" s="10">
        <f>-MAX(0,T14)*Assumptions!$C$16</f>
        <v>-79800</v>
      </c>
      <c r="U15" s="10">
        <f>-MAX(0,U14)*Assumptions!$C$16</f>
        <v>-79800</v>
      </c>
    </row>
    <row r="16" spans="1:21" ht="15" customHeight="1" x14ac:dyDescent="0.35">
      <c r="A16" s="2" t="s">
        <v>73</v>
      </c>
      <c r="B16" s="10">
        <f>-B4*Assumptions!$C$6</f>
        <v>-3300000</v>
      </c>
      <c r="C16" s="10">
        <f>-C4*Assumptions!$C$6</f>
        <v>-3300000</v>
      </c>
      <c r="D16" s="10">
        <f>-D4*Assumptions!$C$6</f>
        <v>-3300000</v>
      </c>
      <c r="E16" s="10">
        <f>-E4*Assumptions!$C$6</f>
        <v>-3300000</v>
      </c>
      <c r="F16" s="10">
        <f>-F4*Assumptions!$C$6</f>
        <v>-3300000</v>
      </c>
      <c r="G16" s="10">
        <f>-G4*Assumptions!$C$6</f>
        <v>-3300000</v>
      </c>
      <c r="H16" s="10">
        <f>-H4*Assumptions!$C$6</f>
        <v>-3300000</v>
      </c>
      <c r="I16" s="10">
        <f>-I4*Assumptions!$C$6</f>
        <v>-3300000</v>
      </c>
      <c r="J16" s="10">
        <f>-J4*Assumptions!$C$6</f>
        <v>-3300000</v>
      </c>
      <c r="K16" s="10">
        <f>-K4*Assumptions!$C$6</f>
        <v>-3300000</v>
      </c>
      <c r="L16" s="10">
        <f>-L4*Assumptions!$C$6</f>
        <v>0</v>
      </c>
      <c r="M16" s="10">
        <f>-M4*Assumptions!$C$6</f>
        <v>0</v>
      </c>
      <c r="N16" s="10">
        <f>-N4*Assumptions!$C$6</f>
        <v>0</v>
      </c>
      <c r="O16" s="10">
        <f>-O4*Assumptions!$C$6</f>
        <v>0</v>
      </c>
      <c r="P16" s="10">
        <f>-P4*Assumptions!$C$6</f>
        <v>0</v>
      </c>
      <c r="Q16" s="10">
        <f>-Q4*Assumptions!$C$6</f>
        <v>0</v>
      </c>
      <c r="R16" s="10">
        <f>-R4*Assumptions!$C$6</f>
        <v>0</v>
      </c>
      <c r="S16" s="10">
        <f>-S4*Assumptions!$C$6</f>
        <v>0</v>
      </c>
      <c r="T16" s="10">
        <f>-T4*Assumptions!$C$6</f>
        <v>0</v>
      </c>
      <c r="U16" s="10">
        <f>-U4*Assumptions!$C$6</f>
        <v>0</v>
      </c>
    </row>
    <row r="17" spans="1:21" ht="15" customHeight="1" x14ac:dyDescent="0.35">
      <c r="A17" s="2" t="s">
        <v>74</v>
      </c>
      <c r="B17" s="10">
        <f>-B4*Assumptions!$C$7</f>
        <v>-120000</v>
      </c>
      <c r="C17" s="10">
        <f>-C4*Assumptions!$C$7</f>
        <v>-120000</v>
      </c>
      <c r="D17" s="10">
        <f>-D4*Assumptions!$C$7</f>
        <v>-120000</v>
      </c>
      <c r="E17" s="10">
        <f>-E4*Assumptions!$C$7</f>
        <v>-120000</v>
      </c>
      <c r="F17" s="10">
        <f>-F4*Assumptions!$C$7</f>
        <v>-120000</v>
      </c>
      <c r="G17" s="10">
        <f>-G4*Assumptions!$C$7</f>
        <v>-120000</v>
      </c>
      <c r="H17" s="10">
        <f>-H4*Assumptions!$C$7</f>
        <v>-120000</v>
      </c>
      <c r="I17" s="10">
        <f>-I4*Assumptions!$C$7</f>
        <v>-120000</v>
      </c>
      <c r="J17" s="10">
        <f>-J4*Assumptions!$C$7</f>
        <v>-120000</v>
      </c>
      <c r="K17" s="10">
        <f>-K4*Assumptions!$C$7</f>
        <v>-120000</v>
      </c>
      <c r="L17" s="10">
        <f>-L4*Assumptions!$C$7</f>
        <v>0</v>
      </c>
      <c r="M17" s="10">
        <f>-M4*Assumptions!$C$7</f>
        <v>0</v>
      </c>
      <c r="N17" s="10">
        <f>-N4*Assumptions!$C$7</f>
        <v>0</v>
      </c>
      <c r="O17" s="10">
        <f>-O4*Assumptions!$C$7</f>
        <v>0</v>
      </c>
      <c r="P17" s="10">
        <f>-P4*Assumptions!$C$7</f>
        <v>0</v>
      </c>
      <c r="Q17" s="10">
        <f>-Q4*Assumptions!$C$7</f>
        <v>0</v>
      </c>
      <c r="R17" s="10">
        <f>-R4*Assumptions!$C$7</f>
        <v>0</v>
      </c>
      <c r="S17" s="10">
        <f>-S4*Assumptions!$C$7</f>
        <v>0</v>
      </c>
      <c r="T17" s="10">
        <f>-T4*Assumptions!$C$7</f>
        <v>0</v>
      </c>
      <c r="U17" s="10">
        <f>-U4*Assumptions!$C$7</f>
        <v>0</v>
      </c>
    </row>
    <row r="18" spans="1:21" ht="15" customHeight="1" x14ac:dyDescent="0.35">
      <c r="A18" s="3" t="s">
        <v>75</v>
      </c>
      <c r="B18" s="10">
        <f t="shared" ref="B18:U18" si="3">B12+B15+B16+B17</f>
        <v>-3453400</v>
      </c>
      <c r="C18" s="10">
        <f t="shared" si="3"/>
        <v>-3236800</v>
      </c>
      <c r="D18" s="10">
        <f t="shared" si="3"/>
        <v>-3020200</v>
      </c>
      <c r="E18" s="10">
        <f t="shared" si="3"/>
        <v>-2803600</v>
      </c>
      <c r="F18" s="10">
        <f t="shared" si="3"/>
        <v>-2589400</v>
      </c>
      <c r="G18" s="10">
        <f t="shared" si="3"/>
        <v>-2388280</v>
      </c>
      <c r="H18" s="10">
        <f t="shared" si="3"/>
        <v>-2187160</v>
      </c>
      <c r="I18" s="10">
        <f t="shared" si="3"/>
        <v>-1986040</v>
      </c>
      <c r="J18" s="10">
        <f t="shared" si="3"/>
        <v>-1784920</v>
      </c>
      <c r="K18" s="10">
        <f t="shared" si="3"/>
        <v>-1583800</v>
      </c>
      <c r="L18" s="10">
        <f t="shared" si="3"/>
        <v>1836200</v>
      </c>
      <c r="M18" s="10">
        <f t="shared" si="3"/>
        <v>1836200</v>
      </c>
      <c r="N18" s="10">
        <f t="shared" si="3"/>
        <v>1836200</v>
      </c>
      <c r="O18" s="10">
        <f t="shared" si="3"/>
        <v>1836200</v>
      </c>
      <c r="P18" s="10">
        <f t="shared" si="3"/>
        <v>1836200</v>
      </c>
      <c r="Q18" s="10">
        <f t="shared" si="3"/>
        <v>1836200</v>
      </c>
      <c r="R18" s="10">
        <f t="shared" si="3"/>
        <v>1836200</v>
      </c>
      <c r="S18" s="10">
        <f t="shared" si="3"/>
        <v>1836200</v>
      </c>
      <c r="T18" s="10">
        <f t="shared" si="3"/>
        <v>1836200</v>
      </c>
      <c r="U18" s="10">
        <f t="shared" si="3"/>
        <v>1836200</v>
      </c>
    </row>
    <row r="19" spans="1:21" ht="15" customHeight="1" x14ac:dyDescent="0.35">
      <c r="A19" s="2" t="s">
        <v>76</v>
      </c>
      <c r="B19" s="10">
        <f>IF(B3=20,TVcalc!$B$16,0)</f>
        <v>0</v>
      </c>
      <c r="C19" s="10">
        <f>IF(C3=20,TVcalc!$B$16,0)</f>
        <v>0</v>
      </c>
      <c r="D19" s="10">
        <f>IF(D3=20,TVcalc!$B$16,0)</f>
        <v>0</v>
      </c>
      <c r="E19" s="10">
        <f>IF(E3=20,TVcalc!$B$16,0)</f>
        <v>0</v>
      </c>
      <c r="F19" s="10">
        <f>IF(F3=20,TVcalc!$B$16,0)</f>
        <v>0</v>
      </c>
      <c r="G19" s="10">
        <f>IF(G3=20,TVcalc!$B$16,0)</f>
        <v>0</v>
      </c>
      <c r="H19" s="10">
        <f>IF(H3=20,TVcalc!$B$16,0)</f>
        <v>0</v>
      </c>
      <c r="I19" s="10">
        <f>IF(I3=20,TVcalc!$B$16,0)</f>
        <v>0</v>
      </c>
      <c r="J19" s="10">
        <f>IF(J3=20,TVcalc!$B$16,0)</f>
        <v>0</v>
      </c>
      <c r="K19" s="10">
        <f>IF(K3=20,TVcalc!$B$16,0)</f>
        <v>0</v>
      </c>
      <c r="L19" s="10">
        <f>IF(L3=20,TVcalc!$B$16,0)</f>
        <v>0</v>
      </c>
      <c r="M19" s="10">
        <f>IF(M3=20,TVcalc!$B$16,0)</f>
        <v>0</v>
      </c>
      <c r="N19" s="10">
        <f>IF(N3=20,TVcalc!$B$16,0)</f>
        <v>0</v>
      </c>
      <c r="O19" s="10">
        <f>IF(O3=20,TVcalc!$B$16,0)</f>
        <v>0</v>
      </c>
      <c r="P19" s="10">
        <f>IF(P3=20,TVcalc!$B$16,0)</f>
        <v>0</v>
      </c>
      <c r="Q19" s="10">
        <f>IF(Q3=20,TVcalc!$B$16,0)</f>
        <v>0</v>
      </c>
      <c r="R19" s="10">
        <f>IF(R3=20,TVcalc!$B$16,0)</f>
        <v>0</v>
      </c>
      <c r="S19" s="10">
        <f>IF(S3=20,TVcalc!$B$16,0)</f>
        <v>0</v>
      </c>
      <c r="T19" s="10">
        <f>IF(T3=20,TVcalc!$B$16,0)</f>
        <v>0</v>
      </c>
      <c r="U19" s="10">
        <f>IF(U3=20,TVcalc!$B$16,0)</f>
        <v>7624068.5955143617</v>
      </c>
    </row>
    <row r="20" spans="1:21" ht="15" customHeight="1" x14ac:dyDescent="0.35">
      <c r="A20" s="3" t="s">
        <v>77</v>
      </c>
      <c r="B20" s="10">
        <f t="shared" ref="B20:U20" si="4">B18+B19</f>
        <v>-3453400</v>
      </c>
      <c r="C20" s="10">
        <f t="shared" si="4"/>
        <v>-3236800</v>
      </c>
      <c r="D20" s="10">
        <f t="shared" si="4"/>
        <v>-3020200</v>
      </c>
      <c r="E20" s="10">
        <f t="shared" si="4"/>
        <v>-2803600</v>
      </c>
      <c r="F20" s="10">
        <f t="shared" si="4"/>
        <v>-2589400</v>
      </c>
      <c r="G20" s="10">
        <f t="shared" si="4"/>
        <v>-2388280</v>
      </c>
      <c r="H20" s="10">
        <f t="shared" si="4"/>
        <v>-2187160</v>
      </c>
      <c r="I20" s="10">
        <f t="shared" si="4"/>
        <v>-1986040</v>
      </c>
      <c r="J20" s="10">
        <f t="shared" si="4"/>
        <v>-1784920</v>
      </c>
      <c r="K20" s="10">
        <f t="shared" si="4"/>
        <v>-1583800</v>
      </c>
      <c r="L20" s="10">
        <f t="shared" si="4"/>
        <v>1836200</v>
      </c>
      <c r="M20" s="10">
        <f t="shared" si="4"/>
        <v>1836200</v>
      </c>
      <c r="N20" s="10">
        <f t="shared" si="4"/>
        <v>1836200</v>
      </c>
      <c r="O20" s="10">
        <f t="shared" si="4"/>
        <v>1836200</v>
      </c>
      <c r="P20" s="10">
        <f t="shared" si="4"/>
        <v>1836200</v>
      </c>
      <c r="Q20" s="10">
        <f t="shared" si="4"/>
        <v>1836200</v>
      </c>
      <c r="R20" s="10">
        <f t="shared" si="4"/>
        <v>1836200</v>
      </c>
      <c r="S20" s="10">
        <f t="shared" si="4"/>
        <v>1836200</v>
      </c>
      <c r="T20" s="10">
        <f t="shared" si="4"/>
        <v>1836200</v>
      </c>
      <c r="U20" s="10">
        <f t="shared" si="4"/>
        <v>9460268.5955143608</v>
      </c>
    </row>
    <row r="21" spans="1:21" ht="15" customHeight="1" x14ac:dyDescent="0.35">
      <c r="A21" s="2" t="s">
        <v>78</v>
      </c>
      <c r="B21" s="10">
        <f>B20/(1+Assumptions!$C$15)^B3</f>
        <v>-3257924.5283018867</v>
      </c>
      <c r="C21" s="10">
        <f>C20/(1+Assumptions!$C$15)^C3</f>
        <v>-2880740.4770380915</v>
      </c>
      <c r="D21" s="10">
        <f>D20/(1+Assumptions!$C$15)^D3</f>
        <v>-2535818.1586141572</v>
      </c>
      <c r="E21" s="10">
        <f>E20/(1+Assumptions!$C$15)^E3</f>
        <v>-2220713.7942541139</v>
      </c>
      <c r="F21" s="10">
        <f>F20/(1+Assumptions!$C$15)^F3</f>
        <v>-1934950.3128193677</v>
      </c>
      <c r="G21" s="10">
        <f>G20/(1+Assumptions!$C$15)^G3</f>
        <v>-1683643.1595212701</v>
      </c>
      <c r="H21" s="10">
        <f>H20/(1+Assumptions!$C$15)^H3</f>
        <v>-1454586.3166302284</v>
      </c>
      <c r="I21" s="10">
        <f>I20/(1+Assumptions!$C$15)^I3</f>
        <v>-1246066.065979721</v>
      </c>
      <c r="J21" s="10">
        <f>J20/(1+Assumptions!$C$15)^J3</f>
        <v>-1056491.4055240122</v>
      </c>
      <c r="K21" s="10">
        <f>K20/(1+Assumptions!$C$15)^K3</f>
        <v>-884385.64767816372</v>
      </c>
      <c r="L21" s="10">
        <f>L20/(1+Assumptions!$C$15)^L3</f>
        <v>967287.25412409368</v>
      </c>
      <c r="M21" s="10">
        <f>M20/(1+Assumptions!$C$15)^M3</f>
        <v>912535.14540008828</v>
      </c>
      <c r="N21" s="10">
        <f>N20/(1+Assumptions!$C$15)^N3</f>
        <v>860882.21264159272</v>
      </c>
      <c r="O21" s="10">
        <f>O20/(1+Assumptions!$C$15)^O3</f>
        <v>812153.03079395543</v>
      </c>
      <c r="P21" s="10">
        <f>P20/(1+Assumptions!$C$15)^P3</f>
        <v>766182.10452259914</v>
      </c>
      <c r="Q21" s="10">
        <f>Q20/(1+Assumptions!$C$15)^Q3</f>
        <v>722813.30615339568</v>
      </c>
      <c r="R21" s="10">
        <f>R20/(1+Assumptions!$C$15)^R3</f>
        <v>681899.34542773163</v>
      </c>
      <c r="S21" s="10">
        <f>S20/(1+Assumptions!$C$15)^S3</f>
        <v>643301.26927144499</v>
      </c>
      <c r="T21" s="10">
        <f>T20/(1+Assumptions!$C$15)^T3</f>
        <v>606887.98987872165</v>
      </c>
      <c r="U21" s="10">
        <f>U20/(1+Assumptions!$C$15)^U3</f>
        <v>2949756.4656933555</v>
      </c>
    </row>
    <row r="22" spans="1:21" ht="15" customHeight="1" x14ac:dyDescent="0.3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spans="1:21" ht="15" customHeight="1" x14ac:dyDescent="0.35">
      <c r="A23" s="3" t="s">
        <v>79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spans="1:21" ht="15" customHeight="1" x14ac:dyDescent="0.35">
      <c r="A24" s="9" t="s">
        <v>80</v>
      </c>
      <c r="B24" s="3">
        <f>SUM(B21:U21)</f>
        <v>-9231621.7424540296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 spans="1:21" ht="15" customHeight="1" x14ac:dyDescent="0.35">
      <c r="A25" s="9" t="s">
        <v>81</v>
      </c>
      <c r="B25" s="11">
        <f>IRR(B20:U20,0.05)</f>
        <v>3.1166311473402875E-3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 spans="1:21" ht="15" customHeight="1" x14ac:dyDescent="0.35">
      <c r="A26" s="9" t="s">
        <v>82</v>
      </c>
      <c r="B26" s="9">
        <f>Assumptions!$C$8*12+Assumptions!$C$9-Assumptions!$C$10-Assumptions!$C$11-Assumptions!$C$13</f>
        <v>1083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 spans="1:21" ht="15" customHeight="1" x14ac:dyDescent="0.35">
      <c r="A27" s="9" t="s">
        <v>83</v>
      </c>
      <c r="B27" s="12">
        <f>Assumptions!$C$6/B26</f>
        <v>15.235457063711911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 spans="1:21" ht="15" customHeight="1" x14ac:dyDescent="0.35">
      <c r="A28" s="9" t="s">
        <v>84</v>
      </c>
      <c r="B28" s="3" t="str">
        <f>IF(AND(B24&gt;0,B25&gt;Assumptions!$C$15),"PASS – proceed to EA/SE transformation","FAIL – revise business model")</f>
        <v>FAIL – revise business model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8"/>
  <sheetViews>
    <sheetView zoomScaleNormal="100" workbookViewId="0"/>
  </sheetViews>
  <sheetFormatPr defaultColWidth="8.7265625" defaultRowHeight="14.5" x14ac:dyDescent="0.35"/>
  <cols>
    <col min="1" max="1" width="26" customWidth="1"/>
    <col min="2" max="21" width="11" customWidth="1"/>
  </cols>
  <sheetData>
    <row r="1" spans="1:21" ht="15" customHeight="1" x14ac:dyDescent="0.35">
      <c r="A1" s="8" t="s">
        <v>61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15" customHeight="1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spans="1:21" ht="15" customHeight="1" x14ac:dyDescent="0.35">
      <c r="A3" s="2" t="s">
        <v>62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</row>
    <row r="4" spans="1:21" ht="15" customHeight="1" x14ac:dyDescent="0.35">
      <c r="A4" s="2" t="s">
        <v>63</v>
      </c>
      <c r="B4" s="10">
        <f>IF(B3&lt;=Assumptions!$D$3,Assumptions!$D$4,0)</f>
        <v>200</v>
      </c>
      <c r="C4" s="10">
        <f>IF(C3&lt;=Assumptions!$D$3,Assumptions!$D$4,0)</f>
        <v>200</v>
      </c>
      <c r="D4" s="10">
        <f>IF(D3&lt;=Assumptions!$D$3,Assumptions!$D$4,0)</f>
        <v>200</v>
      </c>
      <c r="E4" s="10">
        <f>IF(E3&lt;=Assumptions!$D$3,Assumptions!$D$4,0)</f>
        <v>200</v>
      </c>
      <c r="F4" s="10">
        <f>IF(F3&lt;=Assumptions!$D$3,Assumptions!$D$4,0)</f>
        <v>200</v>
      </c>
      <c r="G4" s="10">
        <f>IF(G3&lt;=Assumptions!$D$3,Assumptions!$D$4,0)</f>
        <v>200</v>
      </c>
      <c r="H4" s="10">
        <f>IF(H3&lt;=Assumptions!$D$3,Assumptions!$D$4,0)</f>
        <v>200</v>
      </c>
      <c r="I4" s="10">
        <f>IF(I3&lt;=Assumptions!$D$3,Assumptions!$D$4,0)</f>
        <v>200</v>
      </c>
      <c r="J4" s="10">
        <f>IF(J3&lt;=Assumptions!$D$3,Assumptions!$D$4,0)</f>
        <v>200</v>
      </c>
      <c r="K4" s="10">
        <f>IF(K3&lt;=Assumptions!$D$3,Assumptions!$D$4,0)</f>
        <v>200</v>
      </c>
      <c r="L4" s="10">
        <f>IF(L3&lt;=Assumptions!$D$3,Assumptions!$D$4,0)</f>
        <v>0</v>
      </c>
      <c r="M4" s="10">
        <f>IF(M3&lt;=Assumptions!$D$3,Assumptions!$D$4,0)</f>
        <v>0</v>
      </c>
      <c r="N4" s="10">
        <f>IF(N3&lt;=Assumptions!$D$3,Assumptions!$D$4,0)</f>
        <v>0</v>
      </c>
      <c r="O4" s="10">
        <f>IF(O3&lt;=Assumptions!$D$3,Assumptions!$D$4,0)</f>
        <v>0</v>
      </c>
      <c r="P4" s="10">
        <f>IF(P3&lt;=Assumptions!$D$3,Assumptions!$D$4,0)</f>
        <v>0</v>
      </c>
      <c r="Q4" s="10">
        <f>IF(Q3&lt;=Assumptions!$D$3,Assumptions!$D$4,0)</f>
        <v>0</v>
      </c>
      <c r="R4" s="10">
        <f>IF(R3&lt;=Assumptions!$D$3,Assumptions!$D$4,0)</f>
        <v>0</v>
      </c>
      <c r="S4" s="10">
        <f>IF(S3&lt;=Assumptions!$D$3,Assumptions!$D$4,0)</f>
        <v>0</v>
      </c>
      <c r="T4" s="10">
        <f>IF(T3&lt;=Assumptions!$D$3,Assumptions!$D$4,0)</f>
        <v>0</v>
      </c>
      <c r="U4" s="10">
        <f>IF(U3&lt;=Assumptions!$D$3,Assumptions!$D$4,0)</f>
        <v>0</v>
      </c>
    </row>
    <row r="5" spans="1:21" ht="15" customHeight="1" x14ac:dyDescent="0.35">
      <c r="A5" s="2" t="s">
        <v>64</v>
      </c>
      <c r="B5" s="10">
        <f>Assumptions!$D$4*MIN(B3,Assumptions!$D$3)</f>
        <v>200</v>
      </c>
      <c r="C5" s="10">
        <f>Assumptions!$D$4*MIN(C3,Assumptions!$D$3)</f>
        <v>400</v>
      </c>
      <c r="D5" s="10">
        <f>Assumptions!$D$4*MIN(D3,Assumptions!$D$3)</f>
        <v>600</v>
      </c>
      <c r="E5" s="10">
        <f>Assumptions!$D$4*MIN(E3,Assumptions!$D$3)</f>
        <v>800</v>
      </c>
      <c r="F5" s="10">
        <f>Assumptions!$D$4*MIN(F3,Assumptions!$D$3)</f>
        <v>1000</v>
      </c>
      <c r="G5" s="10">
        <f>Assumptions!$D$4*MIN(G3,Assumptions!$D$3)</f>
        <v>1200</v>
      </c>
      <c r="H5" s="10">
        <f>Assumptions!$D$4*MIN(H3,Assumptions!$D$3)</f>
        <v>1400</v>
      </c>
      <c r="I5" s="10">
        <f>Assumptions!$D$4*MIN(I3,Assumptions!$D$3)</f>
        <v>1600</v>
      </c>
      <c r="J5" s="10">
        <f>Assumptions!$D$4*MIN(J3,Assumptions!$D$3)</f>
        <v>1800</v>
      </c>
      <c r="K5" s="10">
        <f>Assumptions!$D$4*MIN(K3,Assumptions!$D$3)</f>
        <v>2000</v>
      </c>
      <c r="L5" s="10">
        <f>Assumptions!$D$4*MIN(L3,Assumptions!$D$3)</f>
        <v>2000</v>
      </c>
      <c r="M5" s="10">
        <f>Assumptions!$D$4*MIN(M3,Assumptions!$D$3)</f>
        <v>2000</v>
      </c>
      <c r="N5" s="10">
        <f>Assumptions!$D$4*MIN(N3,Assumptions!$D$3)</f>
        <v>2000</v>
      </c>
      <c r="O5" s="10">
        <f>Assumptions!$D$4*MIN(O3,Assumptions!$D$3)</f>
        <v>2000</v>
      </c>
      <c r="P5" s="10">
        <f>Assumptions!$D$4*MIN(P3,Assumptions!$D$3)</f>
        <v>2000</v>
      </c>
      <c r="Q5" s="10">
        <f>Assumptions!$D$4*MIN(Q3,Assumptions!$D$3)</f>
        <v>2000</v>
      </c>
      <c r="R5" s="10">
        <f>Assumptions!$D$4*MIN(R3,Assumptions!$D$3)</f>
        <v>2000</v>
      </c>
      <c r="S5" s="10">
        <f>Assumptions!$D$4*MIN(S3,Assumptions!$D$3)</f>
        <v>2000</v>
      </c>
      <c r="T5" s="10">
        <f>Assumptions!$D$4*MIN(T3,Assumptions!$D$3)</f>
        <v>2000</v>
      </c>
      <c r="U5" s="10">
        <f>Assumptions!$D$4*MIN(U3,Assumptions!$D$3)</f>
        <v>2000</v>
      </c>
    </row>
    <row r="6" spans="1:21" ht="15" customHeight="1" x14ac:dyDescent="0.35">
      <c r="A6" s="2" t="s">
        <v>65</v>
      </c>
      <c r="B6" s="10">
        <f>B5*Assumptions!$D$8*12</f>
        <v>357600</v>
      </c>
      <c r="C6" s="10">
        <f>C5*Assumptions!$D$8*12</f>
        <v>715200</v>
      </c>
      <c r="D6" s="10">
        <f>D5*Assumptions!$D$8*12</f>
        <v>1072800</v>
      </c>
      <c r="E6" s="10">
        <f>E5*Assumptions!$D$8*12</f>
        <v>1430400</v>
      </c>
      <c r="F6" s="10">
        <f>F5*Assumptions!$D$8*12</f>
        <v>1788000</v>
      </c>
      <c r="G6" s="10">
        <f>G5*Assumptions!$D$8*12</f>
        <v>2145600</v>
      </c>
      <c r="H6" s="10">
        <f>H5*Assumptions!$D$8*12</f>
        <v>2503200</v>
      </c>
      <c r="I6" s="10">
        <f>I5*Assumptions!$D$8*12</f>
        <v>2860800</v>
      </c>
      <c r="J6" s="10">
        <f>J5*Assumptions!$D$8*12</f>
        <v>3218400</v>
      </c>
      <c r="K6" s="10">
        <f>K5*Assumptions!$D$8*12</f>
        <v>3576000</v>
      </c>
      <c r="L6" s="10">
        <f>L5*Assumptions!$D$8*12</f>
        <v>3576000</v>
      </c>
      <c r="M6" s="10">
        <f>M5*Assumptions!$D$8*12</f>
        <v>3576000</v>
      </c>
      <c r="N6" s="10">
        <f>N5*Assumptions!$D$8*12</f>
        <v>3576000</v>
      </c>
      <c r="O6" s="10">
        <f>O5*Assumptions!$D$8*12</f>
        <v>3576000</v>
      </c>
      <c r="P6" s="10">
        <f>P5*Assumptions!$D$8*12</f>
        <v>3576000</v>
      </c>
      <c r="Q6" s="10">
        <f>Q5*Assumptions!$D$8*12</f>
        <v>3576000</v>
      </c>
      <c r="R6" s="10">
        <f>R5*Assumptions!$D$8*12</f>
        <v>3576000</v>
      </c>
      <c r="S6" s="10">
        <f>S5*Assumptions!$D$8*12</f>
        <v>3576000</v>
      </c>
      <c r="T6" s="10">
        <f>T5*Assumptions!$D$8*12</f>
        <v>3576000</v>
      </c>
      <c r="U6" s="10">
        <f>U5*Assumptions!$D$8*12</f>
        <v>3576000</v>
      </c>
    </row>
    <row r="7" spans="1:21" ht="15" customHeight="1" x14ac:dyDescent="0.35">
      <c r="A7" s="2" t="s">
        <v>66</v>
      </c>
      <c r="B7" s="10">
        <f>B5*Assumptions!$D$9</f>
        <v>28000</v>
      </c>
      <c r="C7" s="10">
        <f>C5*Assumptions!$D$9</f>
        <v>56000</v>
      </c>
      <c r="D7" s="10">
        <f>D5*Assumptions!$D$9</f>
        <v>84000</v>
      </c>
      <c r="E7" s="10">
        <f>E5*Assumptions!$D$9</f>
        <v>112000</v>
      </c>
      <c r="F7" s="10">
        <f>F5*Assumptions!$D$9</f>
        <v>140000</v>
      </c>
      <c r="G7" s="10">
        <f>G5*Assumptions!$D$9</f>
        <v>168000</v>
      </c>
      <c r="H7" s="10">
        <f>H5*Assumptions!$D$9</f>
        <v>196000</v>
      </c>
      <c r="I7" s="10">
        <f>I5*Assumptions!$D$9</f>
        <v>224000</v>
      </c>
      <c r="J7" s="10">
        <f>J5*Assumptions!$D$9</f>
        <v>252000</v>
      </c>
      <c r="K7" s="10">
        <f>K5*Assumptions!$D$9</f>
        <v>280000</v>
      </c>
      <c r="L7" s="10">
        <f>L5*Assumptions!$D$9</f>
        <v>280000</v>
      </c>
      <c r="M7" s="10">
        <f>M5*Assumptions!$D$9</f>
        <v>280000</v>
      </c>
      <c r="N7" s="10">
        <f>N5*Assumptions!$D$9</f>
        <v>280000</v>
      </c>
      <c r="O7" s="10">
        <f>O5*Assumptions!$D$9</f>
        <v>280000</v>
      </c>
      <c r="P7" s="10">
        <f>P5*Assumptions!$D$9</f>
        <v>280000</v>
      </c>
      <c r="Q7" s="10">
        <f>Q5*Assumptions!$D$9</f>
        <v>280000</v>
      </c>
      <c r="R7" s="10">
        <f>R5*Assumptions!$D$9</f>
        <v>280000</v>
      </c>
      <c r="S7" s="10">
        <f>S5*Assumptions!$D$9</f>
        <v>280000</v>
      </c>
      <c r="T7" s="10">
        <f>T5*Assumptions!$D$9</f>
        <v>280000</v>
      </c>
      <c r="U7" s="10">
        <f>U5*Assumptions!$D$9</f>
        <v>280000</v>
      </c>
    </row>
    <row r="8" spans="1:21" ht="15" customHeight="1" x14ac:dyDescent="0.35">
      <c r="A8" s="3" t="s">
        <v>67</v>
      </c>
      <c r="B8" s="10">
        <f t="shared" ref="B8:U8" si="0">B6+B7</f>
        <v>385600</v>
      </c>
      <c r="C8" s="10">
        <f t="shared" si="0"/>
        <v>771200</v>
      </c>
      <c r="D8" s="10">
        <f t="shared" si="0"/>
        <v>1156800</v>
      </c>
      <c r="E8" s="10">
        <f t="shared" si="0"/>
        <v>1542400</v>
      </c>
      <c r="F8" s="10">
        <f t="shared" si="0"/>
        <v>1928000</v>
      </c>
      <c r="G8" s="10">
        <f t="shared" si="0"/>
        <v>2313600</v>
      </c>
      <c r="H8" s="10">
        <f t="shared" si="0"/>
        <v>2699200</v>
      </c>
      <c r="I8" s="10">
        <f t="shared" si="0"/>
        <v>3084800</v>
      </c>
      <c r="J8" s="10">
        <f t="shared" si="0"/>
        <v>3470400</v>
      </c>
      <c r="K8" s="10">
        <f t="shared" si="0"/>
        <v>3856000</v>
      </c>
      <c r="L8" s="10">
        <f t="shared" si="0"/>
        <v>3856000</v>
      </c>
      <c r="M8" s="10">
        <f t="shared" si="0"/>
        <v>3856000</v>
      </c>
      <c r="N8" s="10">
        <f t="shared" si="0"/>
        <v>3856000</v>
      </c>
      <c r="O8" s="10">
        <f t="shared" si="0"/>
        <v>3856000</v>
      </c>
      <c r="P8" s="10">
        <f t="shared" si="0"/>
        <v>3856000</v>
      </c>
      <c r="Q8" s="10">
        <f t="shared" si="0"/>
        <v>3856000</v>
      </c>
      <c r="R8" s="10">
        <f t="shared" si="0"/>
        <v>3856000</v>
      </c>
      <c r="S8" s="10">
        <f t="shared" si="0"/>
        <v>3856000</v>
      </c>
      <c r="T8" s="10">
        <f t="shared" si="0"/>
        <v>3856000</v>
      </c>
      <c r="U8" s="10">
        <f t="shared" si="0"/>
        <v>3856000</v>
      </c>
    </row>
    <row r="9" spans="1:21" ht="15" customHeight="1" x14ac:dyDescent="0.35">
      <c r="A9" s="2" t="s">
        <v>43</v>
      </c>
      <c r="B9" s="10">
        <f>-B5*Assumptions!$D$10</f>
        <v>-64000</v>
      </c>
      <c r="C9" s="10">
        <f>-C5*Assumptions!$D$10</f>
        <v>-128000</v>
      </c>
      <c r="D9" s="10">
        <f>-D5*Assumptions!$D$10</f>
        <v>-192000</v>
      </c>
      <c r="E9" s="10">
        <f>-E5*Assumptions!$D$10</f>
        <v>-256000</v>
      </c>
      <c r="F9" s="10">
        <f>-F5*Assumptions!$D$10</f>
        <v>-320000</v>
      </c>
      <c r="G9" s="10">
        <f>-G5*Assumptions!$D$10</f>
        <v>-384000</v>
      </c>
      <c r="H9" s="10">
        <f>-H5*Assumptions!$D$10</f>
        <v>-448000</v>
      </c>
      <c r="I9" s="10">
        <f>-I5*Assumptions!$D$10</f>
        <v>-512000</v>
      </c>
      <c r="J9" s="10">
        <f>-J5*Assumptions!$D$10</f>
        <v>-576000</v>
      </c>
      <c r="K9" s="10">
        <f>-K5*Assumptions!$D$10</f>
        <v>-640000</v>
      </c>
      <c r="L9" s="10">
        <f>-L5*Assumptions!$D$10</f>
        <v>-640000</v>
      </c>
      <c r="M9" s="10">
        <f>-M5*Assumptions!$D$10</f>
        <v>-640000</v>
      </c>
      <c r="N9" s="10">
        <f>-N5*Assumptions!$D$10</f>
        <v>-640000</v>
      </c>
      <c r="O9" s="10">
        <f>-O5*Assumptions!$D$10</f>
        <v>-640000</v>
      </c>
      <c r="P9" s="10">
        <f>-P5*Assumptions!$D$10</f>
        <v>-640000</v>
      </c>
      <c r="Q9" s="10">
        <f>-Q5*Assumptions!$D$10</f>
        <v>-640000</v>
      </c>
      <c r="R9" s="10">
        <f>-R5*Assumptions!$D$10</f>
        <v>-640000</v>
      </c>
      <c r="S9" s="10">
        <f>-S5*Assumptions!$D$10</f>
        <v>-640000</v>
      </c>
      <c r="T9" s="10">
        <f>-T5*Assumptions!$D$10</f>
        <v>-640000</v>
      </c>
      <c r="U9" s="10">
        <f>-U5*Assumptions!$D$10</f>
        <v>-640000</v>
      </c>
    </row>
    <row r="10" spans="1:21" ht="15" customHeight="1" x14ac:dyDescent="0.35">
      <c r="A10" s="2" t="s">
        <v>45</v>
      </c>
      <c r="B10" s="10">
        <f>-B5*Assumptions!$D$11</f>
        <v>-18000</v>
      </c>
      <c r="C10" s="10">
        <f>-C5*Assumptions!$D$11</f>
        <v>-36000</v>
      </c>
      <c r="D10" s="10">
        <f>-D5*Assumptions!$D$11</f>
        <v>-54000</v>
      </c>
      <c r="E10" s="10">
        <f>-E5*Assumptions!$D$11</f>
        <v>-72000</v>
      </c>
      <c r="F10" s="10">
        <f>-F5*Assumptions!$D$11</f>
        <v>-90000</v>
      </c>
      <c r="G10" s="10">
        <f>-G5*Assumptions!$D$11</f>
        <v>-108000</v>
      </c>
      <c r="H10" s="10">
        <f>-H5*Assumptions!$D$11</f>
        <v>-126000</v>
      </c>
      <c r="I10" s="10">
        <f>-I5*Assumptions!$D$11</f>
        <v>-144000</v>
      </c>
      <c r="J10" s="10">
        <f>-J5*Assumptions!$D$11</f>
        <v>-162000</v>
      </c>
      <c r="K10" s="10">
        <f>-K5*Assumptions!$D$11</f>
        <v>-180000</v>
      </c>
      <c r="L10" s="10">
        <f>-L5*Assumptions!$D$11</f>
        <v>-180000</v>
      </c>
      <c r="M10" s="10">
        <f>-M5*Assumptions!$D$11</f>
        <v>-180000</v>
      </c>
      <c r="N10" s="10">
        <f>-N5*Assumptions!$D$11</f>
        <v>-180000</v>
      </c>
      <c r="O10" s="10">
        <f>-O5*Assumptions!$D$11</f>
        <v>-180000</v>
      </c>
      <c r="P10" s="10">
        <f>-P5*Assumptions!$D$11</f>
        <v>-180000</v>
      </c>
      <c r="Q10" s="10">
        <f>-Q5*Assumptions!$D$11</f>
        <v>-180000</v>
      </c>
      <c r="R10" s="10">
        <f>-R5*Assumptions!$D$11</f>
        <v>-180000</v>
      </c>
      <c r="S10" s="10">
        <f>-S5*Assumptions!$D$11</f>
        <v>-180000</v>
      </c>
      <c r="T10" s="10">
        <f>-T5*Assumptions!$D$11</f>
        <v>-180000</v>
      </c>
      <c r="U10" s="10">
        <f>-U5*Assumptions!$D$11</f>
        <v>-180000</v>
      </c>
    </row>
    <row r="11" spans="1:21" ht="15" customHeight="1" x14ac:dyDescent="0.35">
      <c r="A11" s="2" t="s">
        <v>68</v>
      </c>
      <c r="B11" s="10">
        <f>-(Assumptions!$D$12+Assumptions!$D$13*B5)</f>
        <v>-262000</v>
      </c>
      <c r="C11" s="10">
        <f>-(Assumptions!$D$12+Assumptions!$D$13*C5)</f>
        <v>-274000</v>
      </c>
      <c r="D11" s="10">
        <f>-(Assumptions!$D$12+Assumptions!$D$13*D5)</f>
        <v>-286000</v>
      </c>
      <c r="E11" s="10">
        <f>-(Assumptions!$D$12+Assumptions!$D$13*E5)</f>
        <v>-298000</v>
      </c>
      <c r="F11" s="10">
        <f>-(Assumptions!$D$12+Assumptions!$D$13*F5)</f>
        <v>-310000</v>
      </c>
      <c r="G11" s="10">
        <f>-(Assumptions!$D$12+Assumptions!$D$13*G5)</f>
        <v>-322000</v>
      </c>
      <c r="H11" s="10">
        <f>-(Assumptions!$D$12+Assumptions!$D$13*H5)</f>
        <v>-334000</v>
      </c>
      <c r="I11" s="10">
        <f>-(Assumptions!$D$12+Assumptions!$D$13*I5)</f>
        <v>-346000</v>
      </c>
      <c r="J11" s="10">
        <f>-(Assumptions!$D$12+Assumptions!$D$13*J5)</f>
        <v>-358000</v>
      </c>
      <c r="K11" s="10">
        <f>-(Assumptions!$D$12+Assumptions!$D$13*K5)</f>
        <v>-370000</v>
      </c>
      <c r="L11" s="10">
        <f>-(Assumptions!$D$12+Assumptions!$D$13*L5)</f>
        <v>-370000</v>
      </c>
      <c r="M11" s="10">
        <f>-(Assumptions!$D$12+Assumptions!$D$13*M5)</f>
        <v>-370000</v>
      </c>
      <c r="N11" s="10">
        <f>-(Assumptions!$D$12+Assumptions!$D$13*N5)</f>
        <v>-370000</v>
      </c>
      <c r="O11" s="10">
        <f>-(Assumptions!$D$12+Assumptions!$D$13*O5)</f>
        <v>-370000</v>
      </c>
      <c r="P11" s="10">
        <f>-(Assumptions!$D$12+Assumptions!$D$13*P5)</f>
        <v>-370000</v>
      </c>
      <c r="Q11" s="10">
        <f>-(Assumptions!$D$12+Assumptions!$D$13*Q5)</f>
        <v>-370000</v>
      </c>
      <c r="R11" s="10">
        <f>-(Assumptions!$D$12+Assumptions!$D$13*R5)</f>
        <v>-370000</v>
      </c>
      <c r="S11" s="10">
        <f>-(Assumptions!$D$12+Assumptions!$D$13*S5)</f>
        <v>-370000</v>
      </c>
      <c r="T11" s="10">
        <f>-(Assumptions!$D$12+Assumptions!$D$13*T5)</f>
        <v>-370000</v>
      </c>
      <c r="U11" s="10">
        <f>-(Assumptions!$D$12+Assumptions!$D$13*U5)</f>
        <v>-370000</v>
      </c>
    </row>
    <row r="12" spans="1:21" ht="15" customHeight="1" x14ac:dyDescent="0.35">
      <c r="A12" s="3" t="s">
        <v>69</v>
      </c>
      <c r="B12" s="10">
        <f t="shared" ref="B12:U12" si="1">B8+B9+B10+B11</f>
        <v>41600</v>
      </c>
      <c r="C12" s="10">
        <f t="shared" si="1"/>
        <v>333200</v>
      </c>
      <c r="D12" s="10">
        <f t="shared" si="1"/>
        <v>624800</v>
      </c>
      <c r="E12" s="10">
        <f t="shared" si="1"/>
        <v>916400</v>
      </c>
      <c r="F12" s="10">
        <f t="shared" si="1"/>
        <v>1208000</v>
      </c>
      <c r="G12" s="10">
        <f t="shared" si="1"/>
        <v>1499600</v>
      </c>
      <c r="H12" s="10">
        <f t="shared" si="1"/>
        <v>1791200</v>
      </c>
      <c r="I12" s="10">
        <f t="shared" si="1"/>
        <v>2082800</v>
      </c>
      <c r="J12" s="10">
        <f t="shared" si="1"/>
        <v>2374400</v>
      </c>
      <c r="K12" s="10">
        <f t="shared" si="1"/>
        <v>2666000</v>
      </c>
      <c r="L12" s="10">
        <f t="shared" si="1"/>
        <v>2666000</v>
      </c>
      <c r="M12" s="10">
        <f t="shared" si="1"/>
        <v>2666000</v>
      </c>
      <c r="N12" s="10">
        <f t="shared" si="1"/>
        <v>2666000</v>
      </c>
      <c r="O12" s="10">
        <f t="shared" si="1"/>
        <v>2666000</v>
      </c>
      <c r="P12" s="10">
        <f t="shared" si="1"/>
        <v>2666000</v>
      </c>
      <c r="Q12" s="10">
        <f t="shared" si="1"/>
        <v>2666000</v>
      </c>
      <c r="R12" s="10">
        <f t="shared" si="1"/>
        <v>2666000</v>
      </c>
      <c r="S12" s="10">
        <f t="shared" si="1"/>
        <v>2666000</v>
      </c>
      <c r="T12" s="10">
        <f t="shared" si="1"/>
        <v>2666000</v>
      </c>
      <c r="U12" s="10">
        <f t="shared" si="1"/>
        <v>2666000</v>
      </c>
    </row>
    <row r="13" spans="1:21" ht="15" customHeight="1" x14ac:dyDescent="0.35">
      <c r="A13" s="2" t="s">
        <v>70</v>
      </c>
      <c r="B13" s="10">
        <f>-Assumptions!$D$6*B5/Assumptions!$D$14</f>
        <v>-104166.66666666667</v>
      </c>
      <c r="C13" s="10">
        <f>-Assumptions!$D$6*C5/Assumptions!$D$14</f>
        <v>-208333.33333333334</v>
      </c>
      <c r="D13" s="10">
        <f>-Assumptions!$D$6*D5/Assumptions!$D$14</f>
        <v>-312500</v>
      </c>
      <c r="E13" s="10">
        <f>-Assumptions!$D$6*E5/Assumptions!$D$14</f>
        <v>-416666.66666666669</v>
      </c>
      <c r="F13" s="10">
        <f>-Assumptions!$D$6*F5/Assumptions!$D$14</f>
        <v>-520833.33333333331</v>
      </c>
      <c r="G13" s="10">
        <f>-Assumptions!$D$6*G5/Assumptions!$D$14</f>
        <v>-625000</v>
      </c>
      <c r="H13" s="10">
        <f>-Assumptions!$D$6*H5/Assumptions!$D$14</f>
        <v>-729166.66666666663</v>
      </c>
      <c r="I13" s="10">
        <f>-Assumptions!$D$6*I5/Assumptions!$D$14</f>
        <v>-833333.33333333337</v>
      </c>
      <c r="J13" s="10">
        <f>-Assumptions!$D$6*J5/Assumptions!$D$14</f>
        <v>-937500</v>
      </c>
      <c r="K13" s="10">
        <f>-Assumptions!$D$6*K5/Assumptions!$D$14</f>
        <v>-1041666.6666666666</v>
      </c>
      <c r="L13" s="10">
        <f>-Assumptions!$D$6*L5/Assumptions!$D$14</f>
        <v>-1041666.6666666666</v>
      </c>
      <c r="M13" s="10">
        <f>-Assumptions!$D$6*M5/Assumptions!$D$14</f>
        <v>-1041666.6666666666</v>
      </c>
      <c r="N13" s="10">
        <f>-Assumptions!$D$6*N5/Assumptions!$D$14</f>
        <v>-1041666.6666666666</v>
      </c>
      <c r="O13" s="10">
        <f>-Assumptions!$D$6*O5/Assumptions!$D$14</f>
        <v>-1041666.6666666666</v>
      </c>
      <c r="P13" s="10">
        <f>-Assumptions!$D$6*P5/Assumptions!$D$14</f>
        <v>-1041666.6666666666</v>
      </c>
      <c r="Q13" s="10">
        <f>-Assumptions!$D$6*Q5/Assumptions!$D$14</f>
        <v>-1041666.6666666666</v>
      </c>
      <c r="R13" s="10">
        <f>-Assumptions!$D$6*R5/Assumptions!$D$14</f>
        <v>-1041666.6666666666</v>
      </c>
      <c r="S13" s="10">
        <f>-Assumptions!$D$6*S5/Assumptions!$D$14</f>
        <v>-1041666.6666666666</v>
      </c>
      <c r="T13" s="10">
        <f>-Assumptions!$D$6*T5/Assumptions!$D$14</f>
        <v>-1041666.6666666666</v>
      </c>
      <c r="U13" s="10">
        <f>-Assumptions!$D$6*U5/Assumptions!$D$14</f>
        <v>-1041666.6666666666</v>
      </c>
    </row>
    <row r="14" spans="1:21" ht="15" customHeight="1" x14ac:dyDescent="0.35">
      <c r="A14" s="2" t="s">
        <v>71</v>
      </c>
      <c r="B14" s="10">
        <f t="shared" ref="B14:U14" si="2">B12+B13</f>
        <v>-62566.666666666672</v>
      </c>
      <c r="C14" s="10">
        <f t="shared" si="2"/>
        <v>124866.66666666666</v>
      </c>
      <c r="D14" s="10">
        <f t="shared" si="2"/>
        <v>312300</v>
      </c>
      <c r="E14" s="10">
        <f t="shared" si="2"/>
        <v>499733.33333333331</v>
      </c>
      <c r="F14" s="10">
        <f t="shared" si="2"/>
        <v>687166.66666666674</v>
      </c>
      <c r="G14" s="10">
        <f t="shared" si="2"/>
        <v>874600</v>
      </c>
      <c r="H14" s="10">
        <f t="shared" si="2"/>
        <v>1062033.3333333335</v>
      </c>
      <c r="I14" s="10">
        <f t="shared" si="2"/>
        <v>1249466.6666666665</v>
      </c>
      <c r="J14" s="10">
        <f t="shared" si="2"/>
        <v>1436900</v>
      </c>
      <c r="K14" s="10">
        <f t="shared" si="2"/>
        <v>1624333.3333333335</v>
      </c>
      <c r="L14" s="10">
        <f t="shared" si="2"/>
        <v>1624333.3333333335</v>
      </c>
      <c r="M14" s="10">
        <f t="shared" si="2"/>
        <v>1624333.3333333335</v>
      </c>
      <c r="N14" s="10">
        <f t="shared" si="2"/>
        <v>1624333.3333333335</v>
      </c>
      <c r="O14" s="10">
        <f t="shared" si="2"/>
        <v>1624333.3333333335</v>
      </c>
      <c r="P14" s="10">
        <f t="shared" si="2"/>
        <v>1624333.3333333335</v>
      </c>
      <c r="Q14" s="10">
        <f t="shared" si="2"/>
        <v>1624333.3333333335</v>
      </c>
      <c r="R14" s="10">
        <f t="shared" si="2"/>
        <v>1624333.3333333335</v>
      </c>
      <c r="S14" s="10">
        <f t="shared" si="2"/>
        <v>1624333.3333333335</v>
      </c>
      <c r="T14" s="10">
        <f t="shared" si="2"/>
        <v>1624333.3333333335</v>
      </c>
      <c r="U14" s="10">
        <f t="shared" si="2"/>
        <v>1624333.3333333335</v>
      </c>
    </row>
    <row r="15" spans="1:21" ht="15" customHeight="1" x14ac:dyDescent="0.35">
      <c r="A15" s="2" t="s">
        <v>72</v>
      </c>
      <c r="B15" s="10">
        <f>-MAX(0,B14)*Assumptions!$D$16</f>
        <v>0</v>
      </c>
      <c r="C15" s="10">
        <f>-MAX(0,C14)*Assumptions!$D$16</f>
        <v>-37459.999999999993</v>
      </c>
      <c r="D15" s="10">
        <f>-MAX(0,D14)*Assumptions!$D$16</f>
        <v>-93690</v>
      </c>
      <c r="E15" s="10">
        <f>-MAX(0,E14)*Assumptions!$D$16</f>
        <v>-149920</v>
      </c>
      <c r="F15" s="10">
        <f>-MAX(0,F14)*Assumptions!$D$16</f>
        <v>-206150.00000000003</v>
      </c>
      <c r="G15" s="10">
        <f>-MAX(0,G14)*Assumptions!$D$16</f>
        <v>-262380</v>
      </c>
      <c r="H15" s="10">
        <f>-MAX(0,H14)*Assumptions!$D$16</f>
        <v>-318610.00000000006</v>
      </c>
      <c r="I15" s="10">
        <f>-MAX(0,I14)*Assumptions!$D$16</f>
        <v>-374839.99999999994</v>
      </c>
      <c r="J15" s="10">
        <f>-MAX(0,J14)*Assumptions!$D$16</f>
        <v>-431070</v>
      </c>
      <c r="K15" s="10">
        <f>-MAX(0,K14)*Assumptions!$D$16</f>
        <v>-487300</v>
      </c>
      <c r="L15" s="10">
        <f>-MAX(0,L14)*Assumptions!$D$16</f>
        <v>-487300</v>
      </c>
      <c r="M15" s="10">
        <f>-MAX(0,M14)*Assumptions!$D$16</f>
        <v>-487300</v>
      </c>
      <c r="N15" s="10">
        <f>-MAX(0,N14)*Assumptions!$D$16</f>
        <v>-487300</v>
      </c>
      <c r="O15" s="10">
        <f>-MAX(0,O14)*Assumptions!$D$16</f>
        <v>-487300</v>
      </c>
      <c r="P15" s="10">
        <f>-MAX(0,P14)*Assumptions!$D$16</f>
        <v>-487300</v>
      </c>
      <c r="Q15" s="10">
        <f>-MAX(0,Q14)*Assumptions!$D$16</f>
        <v>-487300</v>
      </c>
      <c r="R15" s="10">
        <f>-MAX(0,R14)*Assumptions!$D$16</f>
        <v>-487300</v>
      </c>
      <c r="S15" s="10">
        <f>-MAX(0,S14)*Assumptions!$D$16</f>
        <v>-487300</v>
      </c>
      <c r="T15" s="10">
        <f>-MAX(0,T14)*Assumptions!$D$16</f>
        <v>-487300</v>
      </c>
      <c r="U15" s="10">
        <f>-MAX(0,U14)*Assumptions!$D$16</f>
        <v>-487300</v>
      </c>
    </row>
    <row r="16" spans="1:21" ht="15" customHeight="1" x14ac:dyDescent="0.35">
      <c r="A16" s="2" t="s">
        <v>73</v>
      </c>
      <c r="B16" s="10">
        <f>-B4*Assumptions!$D$6</f>
        <v>-2500000</v>
      </c>
      <c r="C16" s="10">
        <f>-C4*Assumptions!$D$6</f>
        <v>-2500000</v>
      </c>
      <c r="D16" s="10">
        <f>-D4*Assumptions!$D$6</f>
        <v>-2500000</v>
      </c>
      <c r="E16" s="10">
        <f>-E4*Assumptions!$D$6</f>
        <v>-2500000</v>
      </c>
      <c r="F16" s="10">
        <f>-F4*Assumptions!$D$6</f>
        <v>-2500000</v>
      </c>
      <c r="G16" s="10">
        <f>-G4*Assumptions!$D$6</f>
        <v>-2500000</v>
      </c>
      <c r="H16" s="10">
        <f>-H4*Assumptions!$D$6</f>
        <v>-2500000</v>
      </c>
      <c r="I16" s="10">
        <f>-I4*Assumptions!$D$6</f>
        <v>-2500000</v>
      </c>
      <c r="J16" s="10">
        <f>-J4*Assumptions!$D$6</f>
        <v>-2500000</v>
      </c>
      <c r="K16" s="10">
        <f>-K4*Assumptions!$D$6</f>
        <v>-2500000</v>
      </c>
      <c r="L16" s="10">
        <f>-L4*Assumptions!$D$6</f>
        <v>0</v>
      </c>
      <c r="M16" s="10">
        <f>-M4*Assumptions!$D$6</f>
        <v>0</v>
      </c>
      <c r="N16" s="10">
        <f>-N4*Assumptions!$D$6</f>
        <v>0</v>
      </c>
      <c r="O16" s="10">
        <f>-O4*Assumptions!$D$6</f>
        <v>0</v>
      </c>
      <c r="P16" s="10">
        <f>-P4*Assumptions!$D$6</f>
        <v>0</v>
      </c>
      <c r="Q16" s="10">
        <f>-Q4*Assumptions!$D$6</f>
        <v>0</v>
      </c>
      <c r="R16" s="10">
        <f>-R4*Assumptions!$D$6</f>
        <v>0</v>
      </c>
      <c r="S16" s="10">
        <f>-S4*Assumptions!$D$6</f>
        <v>0</v>
      </c>
      <c r="T16" s="10">
        <f>-T4*Assumptions!$D$6</f>
        <v>0</v>
      </c>
      <c r="U16" s="10">
        <f>-U4*Assumptions!$D$6</f>
        <v>0</v>
      </c>
    </row>
    <row r="17" spans="1:21" ht="15" customHeight="1" x14ac:dyDescent="0.35">
      <c r="A17" s="2" t="s">
        <v>74</v>
      </c>
      <c r="B17" s="10">
        <f>-B4*Assumptions!$D$7</f>
        <v>-80000</v>
      </c>
      <c r="C17" s="10">
        <f>-C4*Assumptions!$D$7</f>
        <v>-80000</v>
      </c>
      <c r="D17" s="10">
        <f>-D4*Assumptions!$D$7</f>
        <v>-80000</v>
      </c>
      <c r="E17" s="10">
        <f>-E4*Assumptions!$D$7</f>
        <v>-80000</v>
      </c>
      <c r="F17" s="10">
        <f>-F4*Assumptions!$D$7</f>
        <v>-80000</v>
      </c>
      <c r="G17" s="10">
        <f>-G4*Assumptions!$D$7</f>
        <v>-80000</v>
      </c>
      <c r="H17" s="10">
        <f>-H4*Assumptions!$D$7</f>
        <v>-80000</v>
      </c>
      <c r="I17" s="10">
        <f>-I4*Assumptions!$D$7</f>
        <v>-80000</v>
      </c>
      <c r="J17" s="10">
        <f>-J4*Assumptions!$D$7</f>
        <v>-80000</v>
      </c>
      <c r="K17" s="10">
        <f>-K4*Assumptions!$D$7</f>
        <v>-80000</v>
      </c>
      <c r="L17" s="10">
        <f>-L4*Assumptions!$D$7</f>
        <v>0</v>
      </c>
      <c r="M17" s="10">
        <f>-M4*Assumptions!$D$7</f>
        <v>0</v>
      </c>
      <c r="N17" s="10">
        <f>-N4*Assumptions!$D$7</f>
        <v>0</v>
      </c>
      <c r="O17" s="10">
        <f>-O4*Assumptions!$D$7</f>
        <v>0</v>
      </c>
      <c r="P17" s="10">
        <f>-P4*Assumptions!$D$7</f>
        <v>0</v>
      </c>
      <c r="Q17" s="10">
        <f>-Q4*Assumptions!$D$7</f>
        <v>0</v>
      </c>
      <c r="R17" s="10">
        <f>-R4*Assumptions!$D$7</f>
        <v>0</v>
      </c>
      <c r="S17" s="10">
        <f>-S4*Assumptions!$D$7</f>
        <v>0</v>
      </c>
      <c r="T17" s="10">
        <f>-T4*Assumptions!$D$7</f>
        <v>0</v>
      </c>
      <c r="U17" s="10">
        <f>-U4*Assumptions!$D$7</f>
        <v>0</v>
      </c>
    </row>
    <row r="18" spans="1:21" ht="15" customHeight="1" x14ac:dyDescent="0.35">
      <c r="A18" s="3" t="s">
        <v>75</v>
      </c>
      <c r="B18" s="10">
        <f t="shared" ref="B18:U18" si="3">B12+B15+B16+B17</f>
        <v>-2538400</v>
      </c>
      <c r="C18" s="10">
        <f t="shared" si="3"/>
        <v>-2284260</v>
      </c>
      <c r="D18" s="10">
        <f t="shared" si="3"/>
        <v>-2048890</v>
      </c>
      <c r="E18" s="10">
        <f t="shared" si="3"/>
        <v>-1813520</v>
      </c>
      <c r="F18" s="10">
        <f t="shared" si="3"/>
        <v>-1578150</v>
      </c>
      <c r="G18" s="10">
        <f t="shared" si="3"/>
        <v>-1342780</v>
      </c>
      <c r="H18" s="10">
        <f t="shared" si="3"/>
        <v>-1107410</v>
      </c>
      <c r="I18" s="10">
        <f t="shared" si="3"/>
        <v>-872040</v>
      </c>
      <c r="J18" s="10">
        <f t="shared" si="3"/>
        <v>-636670</v>
      </c>
      <c r="K18" s="10">
        <f t="shared" si="3"/>
        <v>-401300</v>
      </c>
      <c r="L18" s="10">
        <f t="shared" si="3"/>
        <v>2178700</v>
      </c>
      <c r="M18" s="10">
        <f t="shared" si="3"/>
        <v>2178700</v>
      </c>
      <c r="N18" s="10">
        <f t="shared" si="3"/>
        <v>2178700</v>
      </c>
      <c r="O18" s="10">
        <f t="shared" si="3"/>
        <v>2178700</v>
      </c>
      <c r="P18" s="10">
        <f t="shared" si="3"/>
        <v>2178700</v>
      </c>
      <c r="Q18" s="10">
        <f t="shared" si="3"/>
        <v>2178700</v>
      </c>
      <c r="R18" s="10">
        <f t="shared" si="3"/>
        <v>2178700</v>
      </c>
      <c r="S18" s="10">
        <f t="shared" si="3"/>
        <v>2178700</v>
      </c>
      <c r="T18" s="10">
        <f t="shared" si="3"/>
        <v>2178700</v>
      </c>
      <c r="U18" s="10">
        <f t="shared" si="3"/>
        <v>2178700</v>
      </c>
    </row>
    <row r="19" spans="1:21" ht="15" customHeight="1" x14ac:dyDescent="0.35">
      <c r="A19" s="2" t="s">
        <v>76</v>
      </c>
      <c r="B19" s="10">
        <f>IF(B3=20,TVcalc2!$B$16,0)</f>
        <v>0</v>
      </c>
      <c r="C19" s="10">
        <f>IF(C3=20,TVcalc2!$B$16,0)</f>
        <v>0</v>
      </c>
      <c r="D19" s="10">
        <f>IF(D3=20,TVcalc2!$B$16,0)</f>
        <v>0</v>
      </c>
      <c r="E19" s="10">
        <f>IF(E3=20,TVcalc2!$B$16,0)</f>
        <v>0</v>
      </c>
      <c r="F19" s="10">
        <f>IF(F3=20,TVcalc2!$B$16,0)</f>
        <v>0</v>
      </c>
      <c r="G19" s="10">
        <f>IF(G3=20,TVcalc2!$B$16,0)</f>
        <v>0</v>
      </c>
      <c r="H19" s="10">
        <f>IF(H3=20,TVcalc2!$B$16,0)</f>
        <v>0</v>
      </c>
      <c r="I19" s="10">
        <f>IF(I3=20,TVcalc2!$B$16,0)</f>
        <v>0</v>
      </c>
      <c r="J19" s="10">
        <f>IF(J3=20,TVcalc2!$B$16,0)</f>
        <v>0</v>
      </c>
      <c r="K19" s="10">
        <f>IF(K3=20,TVcalc2!$B$16,0)</f>
        <v>0</v>
      </c>
      <c r="L19" s="10">
        <f>IF(L3=20,TVcalc2!$B$16,0)</f>
        <v>0</v>
      </c>
      <c r="M19" s="10">
        <f>IF(M3=20,TVcalc2!$B$16,0)</f>
        <v>0</v>
      </c>
      <c r="N19" s="10">
        <f>IF(N3=20,TVcalc2!$B$16,0)</f>
        <v>0</v>
      </c>
      <c r="O19" s="10">
        <f>IF(O3=20,TVcalc2!$B$16,0)</f>
        <v>0</v>
      </c>
      <c r="P19" s="10">
        <f>IF(P3=20,TVcalc2!$B$16,0)</f>
        <v>0</v>
      </c>
      <c r="Q19" s="10">
        <f>IF(Q3=20,TVcalc2!$B$16,0)</f>
        <v>0</v>
      </c>
      <c r="R19" s="10">
        <f>IF(R3=20,TVcalc2!$B$16,0)</f>
        <v>0</v>
      </c>
      <c r="S19" s="10">
        <f>IF(S3=20,TVcalc2!$B$16,0)</f>
        <v>0</v>
      </c>
      <c r="T19" s="10">
        <f>IF(T3=20,TVcalc2!$B$16,0)</f>
        <v>0</v>
      </c>
      <c r="U19" s="10">
        <f>IF(U3=20,TVcalc2!$B$16,0)</f>
        <v>16213433.113979109</v>
      </c>
    </row>
    <row r="20" spans="1:21" ht="15" customHeight="1" x14ac:dyDescent="0.35">
      <c r="A20" s="3" t="s">
        <v>77</v>
      </c>
      <c r="B20" s="10">
        <f t="shared" ref="B20:U20" si="4">B18+B19</f>
        <v>-2538400</v>
      </c>
      <c r="C20" s="10">
        <f t="shared" si="4"/>
        <v>-2284260</v>
      </c>
      <c r="D20" s="10">
        <f t="shared" si="4"/>
        <v>-2048890</v>
      </c>
      <c r="E20" s="10">
        <f t="shared" si="4"/>
        <v>-1813520</v>
      </c>
      <c r="F20" s="10">
        <f t="shared" si="4"/>
        <v>-1578150</v>
      </c>
      <c r="G20" s="10">
        <f t="shared" si="4"/>
        <v>-1342780</v>
      </c>
      <c r="H20" s="10">
        <f t="shared" si="4"/>
        <v>-1107410</v>
      </c>
      <c r="I20" s="10">
        <f t="shared" si="4"/>
        <v>-872040</v>
      </c>
      <c r="J20" s="10">
        <f t="shared" si="4"/>
        <v>-636670</v>
      </c>
      <c r="K20" s="10">
        <f t="shared" si="4"/>
        <v>-401300</v>
      </c>
      <c r="L20" s="10">
        <f t="shared" si="4"/>
        <v>2178700</v>
      </c>
      <c r="M20" s="10">
        <f t="shared" si="4"/>
        <v>2178700</v>
      </c>
      <c r="N20" s="10">
        <f t="shared" si="4"/>
        <v>2178700</v>
      </c>
      <c r="O20" s="10">
        <f t="shared" si="4"/>
        <v>2178700</v>
      </c>
      <c r="P20" s="10">
        <f t="shared" si="4"/>
        <v>2178700</v>
      </c>
      <c r="Q20" s="10">
        <f t="shared" si="4"/>
        <v>2178700</v>
      </c>
      <c r="R20" s="10">
        <f t="shared" si="4"/>
        <v>2178700</v>
      </c>
      <c r="S20" s="10">
        <f t="shared" si="4"/>
        <v>2178700</v>
      </c>
      <c r="T20" s="10">
        <f t="shared" si="4"/>
        <v>2178700</v>
      </c>
      <c r="U20" s="10">
        <f t="shared" si="4"/>
        <v>18392133.113979109</v>
      </c>
    </row>
    <row r="21" spans="1:21" ht="15" customHeight="1" x14ac:dyDescent="0.35">
      <c r="A21" s="2" t="s">
        <v>78</v>
      </c>
      <c r="B21" s="10">
        <f>B20/(1+Assumptions!$D$15)^B3</f>
        <v>-2394716.9811320752</v>
      </c>
      <c r="C21" s="10">
        <f>C20/(1+Assumptions!$D$15)^C3</f>
        <v>-2032983.2680669276</v>
      </c>
      <c r="D21" s="10">
        <f>D20/(1+Assumptions!$D$15)^D3</f>
        <v>-1720287.5528120524</v>
      </c>
      <c r="E21" s="10">
        <f>E20/(1+Assumptions!$D$15)^E3</f>
        <v>-1436477.7001554146</v>
      </c>
      <c r="F21" s="10">
        <f>F20/(1+Assumptions!$D$15)^F3</f>
        <v>-1179285.4855085677</v>
      </c>
      <c r="G21" s="10">
        <f>G20/(1+Assumptions!$D$15)^G3</f>
        <v>-946606.91449158848</v>
      </c>
      <c r="H21" s="10">
        <f>H20/(1+Assumptions!$D$15)^H3</f>
        <v>-736490.89819651109</v>
      </c>
      <c r="I21" s="10">
        <f>I20/(1+Assumptions!$D$15)^I3</f>
        <v>-547128.68430492643</v>
      </c>
      <c r="J21" s="10">
        <f>J20/(1+Assumptions!$D$15)^J3</f>
        <v>-376843.99477566103</v>
      </c>
      <c r="K21" s="10">
        <f>K20/(1+Assumptions!$D$15)^K3</f>
        <v>-224083.8239760368</v>
      </c>
      <c r="L21" s="10">
        <f>L20/(1+Assumptions!$D$15)^L3</f>
        <v>1147711.9815707237</v>
      </c>
      <c r="M21" s="10">
        <f>M20/(1+Assumptions!$D$15)^M3</f>
        <v>1082747.1524252109</v>
      </c>
      <c r="N21" s="10">
        <f>N20/(1+Assumptions!$D$15)^N3</f>
        <v>1021459.577759633</v>
      </c>
      <c r="O21" s="10">
        <f>O20/(1+Assumptions!$D$15)^O3</f>
        <v>963641.1110939933</v>
      </c>
      <c r="P21" s="10">
        <f>P20/(1+Assumptions!$D$15)^P3</f>
        <v>909095.38782452175</v>
      </c>
      <c r="Q21" s="10">
        <f>Q20/(1+Assumptions!$D$15)^Q3</f>
        <v>857637.15832502081</v>
      </c>
      <c r="R21" s="10">
        <f>R20/(1+Assumptions!$D$15)^R3</f>
        <v>809091.65879718924</v>
      </c>
      <c r="S21" s="10">
        <f>S20/(1+Assumptions!$D$15)^S3</f>
        <v>763294.01773319743</v>
      </c>
      <c r="T21" s="10">
        <f>T20/(1+Assumptions!$D$15)^T3</f>
        <v>720088.69597471447</v>
      </c>
      <c r="U21" s="10">
        <f>U20/(1+Assumptions!$D$15)^U3</f>
        <v>5734754.0424567629</v>
      </c>
    </row>
    <row r="22" spans="1:21" ht="15" customHeight="1" x14ac:dyDescent="0.3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spans="1:21" ht="15" customHeight="1" x14ac:dyDescent="0.35">
      <c r="A23" s="3" t="s">
        <v>79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spans="1:21" ht="15" customHeight="1" x14ac:dyDescent="0.35">
      <c r="A24" s="9" t="s">
        <v>80</v>
      </c>
      <c r="B24" s="3">
        <f>SUM(B21:U21)</f>
        <v>2414615.4805412092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 spans="1:21" ht="15" customHeight="1" x14ac:dyDescent="0.35">
      <c r="A25" s="9" t="s">
        <v>81</v>
      </c>
      <c r="B25" s="11">
        <f>IRR(B20:U20,0.05)</f>
        <v>7.5565143230638343E-2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 spans="1:21" ht="15" customHeight="1" x14ac:dyDescent="0.35">
      <c r="A26" s="9" t="s">
        <v>82</v>
      </c>
      <c r="B26" s="9">
        <f>Assumptions!$D$8*12+Assumptions!$D$9-Assumptions!$D$10-Assumptions!$D$11-Assumptions!$D$13</f>
        <v>1458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 spans="1:21" ht="15" customHeight="1" x14ac:dyDescent="0.35">
      <c r="A27" s="9" t="s">
        <v>83</v>
      </c>
      <c r="B27" s="12">
        <f>Assumptions!$D$6/B26</f>
        <v>8.5733882030178332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 spans="1:21" ht="15" customHeight="1" x14ac:dyDescent="0.35">
      <c r="A28" s="9" t="s">
        <v>84</v>
      </c>
      <c r="B28" s="3" t="str">
        <f>IF(AND(B24&gt;0,B25&gt;Assumptions!$D$15),"PASS – proceed to EA/SE transformation","FAIL – revise business model")</f>
        <v>PASS – proceed to EA/SE transformation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zoomScaleNormal="100" workbookViewId="0"/>
  </sheetViews>
  <sheetFormatPr defaultColWidth="8.7265625" defaultRowHeight="14.5" x14ac:dyDescent="0.35"/>
  <cols>
    <col min="1" max="1" width="18" customWidth="1"/>
    <col min="2" max="2" width="20" customWidth="1"/>
    <col min="3" max="3" width="14" customWidth="1"/>
    <col min="4" max="4" width="16" customWidth="1"/>
  </cols>
  <sheetData>
    <row r="1" spans="1:4" ht="15" customHeight="1" x14ac:dyDescent="0.35">
      <c r="A1" s="8" t="s">
        <v>85</v>
      </c>
      <c r="B1" s="9"/>
      <c r="C1" s="9"/>
      <c r="D1" s="9"/>
    </row>
    <row r="2" spans="1:4" ht="15" customHeight="1" x14ac:dyDescent="0.35">
      <c r="A2" s="9"/>
      <c r="B2" s="9"/>
      <c r="C2" s="9"/>
      <c r="D2" s="9"/>
    </row>
    <row r="3" spans="1:4" ht="15" customHeight="1" x14ac:dyDescent="0.35">
      <c r="A3" s="3" t="s">
        <v>86</v>
      </c>
      <c r="B3" s="3" t="s">
        <v>87</v>
      </c>
      <c r="C3" s="3" t="s">
        <v>88</v>
      </c>
      <c r="D3" s="3" t="s">
        <v>89</v>
      </c>
    </row>
    <row r="4" spans="1:4" ht="15" customHeight="1" x14ac:dyDescent="0.35">
      <c r="A4" s="9">
        <v>1</v>
      </c>
      <c r="B4" s="9">
        <f>MAX(0,Assumptions!$C$14-(20-A4))</f>
        <v>1</v>
      </c>
      <c r="C4" s="9">
        <f>IF(B4=0,0,(1-(1+Assumptions!$C$15)^-B4)/Assumptions!$C$15)</f>
        <v>0.94339622641509602</v>
      </c>
      <c r="D4" s="10">
        <f>Assumptions!$C$4*('Iteration 1'!$B$26)*Assumptions!$C$17*C4</f>
        <v>163471.69811320785</v>
      </c>
    </row>
    <row r="5" spans="1:4" ht="15" customHeight="1" x14ac:dyDescent="0.35">
      <c r="A5" s="9">
        <v>2</v>
      </c>
      <c r="B5" s="9">
        <f>MAX(0,Assumptions!$C$14-(20-A5))</f>
        <v>2</v>
      </c>
      <c r="C5" s="9">
        <f>IF(B5=0,0,(1-(1+Assumptions!$C$15)^-B5)/Assumptions!$C$15)</f>
        <v>1.8333926664293363</v>
      </c>
      <c r="D5" s="10">
        <f>Assumptions!$C$4*('Iteration 1'!$B$26)*Assumptions!$C$17*C5</f>
        <v>317690.28123887541</v>
      </c>
    </row>
    <row r="6" spans="1:4" ht="15" customHeight="1" x14ac:dyDescent="0.35">
      <c r="A6" s="9">
        <v>3</v>
      </c>
      <c r="B6" s="9">
        <f>MAX(0,Assumptions!$C$14-(20-A6))</f>
        <v>3</v>
      </c>
      <c r="C6" s="9">
        <f>IF(B6=0,0,(1-(1+Assumptions!$C$15)^-B6)/Assumptions!$C$15)</f>
        <v>2.6730119494616402</v>
      </c>
      <c r="D6" s="10">
        <f>Assumptions!$C$4*('Iteration 1'!$B$26)*Assumptions!$C$17*C6</f>
        <v>463179.51060271304</v>
      </c>
    </row>
    <row r="7" spans="1:4" ht="15" customHeight="1" x14ac:dyDescent="0.35">
      <c r="A7" s="9">
        <v>4</v>
      </c>
      <c r="B7" s="9">
        <f>MAX(0,Assumptions!$C$14-(20-A7))</f>
        <v>4</v>
      </c>
      <c r="C7" s="9">
        <f>IF(B7=0,0,(1-(1+Assumptions!$C$15)^-B7)/Assumptions!$C$15)</f>
        <v>3.4651056126996593</v>
      </c>
      <c r="D7" s="10">
        <f>Assumptions!$C$4*('Iteration 1'!$B$26)*Assumptions!$C$17*C7</f>
        <v>600433.500568597</v>
      </c>
    </row>
    <row r="8" spans="1:4" ht="15" customHeight="1" x14ac:dyDescent="0.35">
      <c r="A8" s="9">
        <v>5</v>
      </c>
      <c r="B8" s="9">
        <f>MAX(0,Assumptions!$C$14-(20-A8))</f>
        <v>5</v>
      </c>
      <c r="C8" s="9">
        <f>IF(B8=0,0,(1-(1+Assumptions!$C$15)^-B8)/Assumptions!$C$15)</f>
        <v>4.212363785565719</v>
      </c>
      <c r="D8" s="10">
        <f>Assumptions!$C$4*('Iteration 1'!$B$26)*Assumptions!$C$17*C8</f>
        <v>729918.39676282776</v>
      </c>
    </row>
    <row r="9" spans="1:4" ht="15" customHeight="1" x14ac:dyDescent="0.35">
      <c r="A9" s="9">
        <v>6</v>
      </c>
      <c r="B9" s="9">
        <f>MAX(0,Assumptions!$C$14-(20-A9))</f>
        <v>6</v>
      </c>
      <c r="C9" s="9">
        <f>IF(B9=0,0,(1-(1+Assumptions!$C$15)^-B9)/Assumptions!$C$15)</f>
        <v>4.9173243260053958</v>
      </c>
      <c r="D9" s="10">
        <f>Assumptions!$C$4*('Iteration 1'!$B$26)*Assumptions!$C$17*C9</f>
        <v>852073.95921021502</v>
      </c>
    </row>
    <row r="10" spans="1:4" ht="15" customHeight="1" x14ac:dyDescent="0.35">
      <c r="A10" s="9">
        <v>7</v>
      </c>
      <c r="B10" s="9">
        <f>MAX(0,Assumptions!$C$14-(20-A10))</f>
        <v>7</v>
      </c>
      <c r="C10" s="9">
        <f>IF(B10=0,0,(1-(1+Assumptions!$C$15)^-B10)/Assumptions!$C$15)</f>
        <v>5.582381439627734</v>
      </c>
      <c r="D10" s="10">
        <f>Assumptions!$C$4*('Iteration 1'!$B$26)*Assumptions!$C$17*C10</f>
        <v>967315.05585869378</v>
      </c>
    </row>
    <row r="11" spans="1:4" ht="15" customHeight="1" x14ac:dyDescent="0.35">
      <c r="A11" s="9">
        <v>8</v>
      </c>
      <c r="B11" s="9">
        <f>MAX(0,Assumptions!$C$14-(20-A11))</f>
        <v>8</v>
      </c>
      <c r="C11" s="9">
        <f>IF(B11=0,0,(1-(1+Assumptions!$C$15)^-B11)/Assumptions!$C$15)</f>
        <v>6.2097938109695585</v>
      </c>
      <c r="D11" s="10">
        <f>Assumptions!$C$4*('Iteration 1'!$B$26)*Assumptions!$C$17*C11</f>
        <v>1076033.071564805</v>
      </c>
    </row>
    <row r="12" spans="1:4" ht="15" customHeight="1" x14ac:dyDescent="0.35">
      <c r="A12" s="9">
        <v>9</v>
      </c>
      <c r="B12" s="9">
        <f>MAX(0,Assumptions!$C$14-(20-A12))</f>
        <v>9</v>
      </c>
      <c r="C12" s="9">
        <f>IF(B12=0,0,(1-(1+Assumptions!$C$15)^-B12)/Assumptions!$C$15)</f>
        <v>6.801692274499584</v>
      </c>
      <c r="D12" s="10">
        <f>Assumptions!$C$4*('Iteration 1'!$B$26)*Assumptions!$C$17*C12</f>
        <v>1178597.2373252879</v>
      </c>
    </row>
    <row r="13" spans="1:4" ht="15" customHeight="1" x14ac:dyDescent="0.35">
      <c r="A13" s="9">
        <v>10</v>
      </c>
      <c r="B13" s="9">
        <f>MAX(0,Assumptions!$C$14-(20-A13))</f>
        <v>10</v>
      </c>
      <c r="C13" s="9">
        <f>IF(B13=0,0,(1-(1+Assumptions!$C$15)^-B13)/Assumptions!$C$15)</f>
        <v>7.3600870514147028</v>
      </c>
      <c r="D13" s="10">
        <f>Assumptions!$C$4*('Iteration 1'!$B$26)*Assumptions!$C$17*C13</f>
        <v>1275355.8842691397</v>
      </c>
    </row>
    <row r="14" spans="1:4" ht="15" customHeight="1" x14ac:dyDescent="0.35">
      <c r="A14" s="9"/>
      <c r="B14" s="9"/>
      <c r="C14" s="9"/>
      <c r="D14" s="9"/>
    </row>
    <row r="15" spans="1:4" ht="15" customHeight="1" x14ac:dyDescent="0.35">
      <c r="A15" s="9" t="s">
        <v>90</v>
      </c>
      <c r="B15" s="9"/>
      <c r="C15" s="9"/>
      <c r="D15" s="9"/>
    </row>
    <row r="16" spans="1:4" ht="15" customHeight="1" x14ac:dyDescent="0.35">
      <c r="A16" s="9" t="s">
        <v>91</v>
      </c>
      <c r="B16" s="13">
        <f>SUM(D4:D13)</f>
        <v>7624068.5955143617</v>
      </c>
      <c r="C16" s="9"/>
      <c r="D16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zoomScaleNormal="100" workbookViewId="0"/>
  </sheetViews>
  <sheetFormatPr defaultColWidth="8.7265625" defaultRowHeight="14.5" x14ac:dyDescent="0.35"/>
  <cols>
    <col min="1" max="1" width="18" customWidth="1"/>
    <col min="2" max="2" width="20" customWidth="1"/>
    <col min="3" max="3" width="14" customWidth="1"/>
    <col min="4" max="4" width="16" customWidth="1"/>
  </cols>
  <sheetData>
    <row r="1" spans="1:4" ht="15" customHeight="1" x14ac:dyDescent="0.35">
      <c r="A1" s="8" t="s">
        <v>85</v>
      </c>
      <c r="B1" s="9"/>
      <c r="C1" s="9"/>
      <c r="D1" s="9"/>
    </row>
    <row r="2" spans="1:4" ht="15" customHeight="1" x14ac:dyDescent="0.35">
      <c r="A2" s="9"/>
      <c r="B2" s="9"/>
      <c r="C2" s="9"/>
      <c r="D2" s="9"/>
    </row>
    <row r="3" spans="1:4" ht="15" customHeight="1" x14ac:dyDescent="0.35">
      <c r="A3" s="3" t="s">
        <v>86</v>
      </c>
      <c r="B3" s="3" t="s">
        <v>87</v>
      </c>
      <c r="C3" s="3" t="s">
        <v>88</v>
      </c>
      <c r="D3" s="3" t="s">
        <v>89</v>
      </c>
    </row>
    <row r="4" spans="1:4" ht="15" customHeight="1" x14ac:dyDescent="0.35">
      <c r="A4" s="9">
        <v>1</v>
      </c>
      <c r="B4" s="9">
        <f>MAX(0,Assumptions!$D$14-(20-A4))</f>
        <v>5</v>
      </c>
      <c r="C4" s="9">
        <f>IF(B4=0,0,(1-(1+Assumptions!$D$15)^-B4)/Assumptions!$D$15)</f>
        <v>4.212363785565719</v>
      </c>
      <c r="D4" s="10">
        <f>Assumptions!$D$4*('Iteration 2'!$B$26)*Assumptions!$D$17*C4</f>
        <v>982660.22389677097</v>
      </c>
    </row>
    <row r="5" spans="1:4" ht="15" customHeight="1" x14ac:dyDescent="0.35">
      <c r="A5" s="9">
        <v>2</v>
      </c>
      <c r="B5" s="9">
        <f>MAX(0,Assumptions!$D$14-(20-A5))</f>
        <v>6</v>
      </c>
      <c r="C5" s="9">
        <f>IF(B5=0,0,(1-(1+Assumptions!$D$15)^-B5)/Assumptions!$D$15)</f>
        <v>4.9173243260053958</v>
      </c>
      <c r="D5" s="10">
        <f>Assumptions!$D$4*('Iteration 2'!$B$26)*Assumptions!$D$17*C5</f>
        <v>1147113.4187705386</v>
      </c>
    </row>
    <row r="6" spans="1:4" ht="15" customHeight="1" x14ac:dyDescent="0.35">
      <c r="A6" s="9">
        <v>3</v>
      </c>
      <c r="B6" s="9">
        <f>MAX(0,Assumptions!$D$14-(20-A6))</f>
        <v>7</v>
      </c>
      <c r="C6" s="9">
        <f>IF(B6=0,0,(1-(1+Assumptions!$D$15)^-B6)/Assumptions!$D$15)</f>
        <v>5.582381439627734</v>
      </c>
      <c r="D6" s="10">
        <f>Assumptions!$D$4*('Iteration 2'!$B$26)*Assumptions!$D$17*C6</f>
        <v>1302257.9422363578</v>
      </c>
    </row>
    <row r="7" spans="1:4" ht="15" customHeight="1" x14ac:dyDescent="0.35">
      <c r="A7" s="9">
        <v>4</v>
      </c>
      <c r="B7" s="9">
        <f>MAX(0,Assumptions!$D$14-(20-A7))</f>
        <v>8</v>
      </c>
      <c r="C7" s="9">
        <f>IF(B7=0,0,(1-(1+Assumptions!$D$15)^-B7)/Assumptions!$D$15)</f>
        <v>6.2097938109695585</v>
      </c>
      <c r="D7" s="10">
        <f>Assumptions!$D$4*('Iteration 2'!$B$26)*Assumptions!$D$17*C7</f>
        <v>1448620.7002229786</v>
      </c>
    </row>
    <row r="8" spans="1:4" ht="15" customHeight="1" x14ac:dyDescent="0.35">
      <c r="A8" s="9">
        <v>5</v>
      </c>
      <c r="B8" s="9">
        <f>MAX(0,Assumptions!$D$14-(20-A8))</f>
        <v>9</v>
      </c>
      <c r="C8" s="9">
        <f>IF(B8=0,0,(1-(1+Assumptions!$D$15)^-B8)/Assumptions!$D$15)</f>
        <v>6.801692274499584</v>
      </c>
      <c r="D8" s="10">
        <f>Assumptions!$D$4*('Iteration 2'!$B$26)*Assumptions!$D$17*C8</f>
        <v>1586698.7737952629</v>
      </c>
    </row>
    <row r="9" spans="1:4" ht="15" customHeight="1" x14ac:dyDescent="0.35">
      <c r="A9" s="9">
        <v>6</v>
      </c>
      <c r="B9" s="9">
        <f>MAX(0,Assumptions!$D$14-(20-A9))</f>
        <v>10</v>
      </c>
      <c r="C9" s="9">
        <f>IF(B9=0,0,(1-(1+Assumptions!$D$15)^-B9)/Assumptions!$D$15)</f>
        <v>7.3600870514147028</v>
      </c>
      <c r="D9" s="10">
        <f>Assumptions!$D$4*('Iteration 2'!$B$26)*Assumptions!$D$17*C9</f>
        <v>1716961.1073540219</v>
      </c>
    </row>
    <row r="10" spans="1:4" ht="15" customHeight="1" x14ac:dyDescent="0.35">
      <c r="A10" s="9">
        <v>7</v>
      </c>
      <c r="B10" s="9">
        <f>MAX(0,Assumptions!$D$14-(20-A10))</f>
        <v>11</v>
      </c>
      <c r="C10" s="9">
        <f>IF(B10=0,0,(1-(1+Assumptions!$D$15)^-B10)/Assumptions!$D$15)</f>
        <v>7.8868745768063242</v>
      </c>
      <c r="D10" s="10">
        <f>Assumptions!$D$4*('Iteration 2'!$B$26)*Assumptions!$D$17*C10</f>
        <v>1839850.1012773793</v>
      </c>
    </row>
    <row r="11" spans="1:4" ht="15" customHeight="1" x14ac:dyDescent="0.35">
      <c r="A11" s="9">
        <v>8</v>
      </c>
      <c r="B11" s="9">
        <f>MAX(0,Assumptions!$D$14-(20-A11))</f>
        <v>12</v>
      </c>
      <c r="C11" s="9">
        <f>IF(B11=0,0,(1-(1+Assumptions!$D$15)^-B11)/Assumptions!$D$15)</f>
        <v>8.3838439403833256</v>
      </c>
      <c r="D11" s="10">
        <f>Assumptions!$D$4*('Iteration 2'!$B$26)*Assumptions!$D$17*C11</f>
        <v>1955783.1144126223</v>
      </c>
    </row>
    <row r="12" spans="1:4" ht="15" customHeight="1" x14ac:dyDescent="0.35">
      <c r="A12" s="9">
        <v>9</v>
      </c>
      <c r="B12" s="9">
        <f>MAX(0,Assumptions!$D$14-(20-A12))</f>
        <v>13</v>
      </c>
      <c r="C12" s="9">
        <f>IF(B12=0,0,(1-(1+Assumptions!$D$15)^-B12)/Assumptions!$D$15)</f>
        <v>8.8526829626257797</v>
      </c>
      <c r="D12" s="10">
        <f>Assumptions!$D$4*('Iteration 2'!$B$26)*Assumptions!$D$17*C12</f>
        <v>2065153.8815213419</v>
      </c>
    </row>
    <row r="13" spans="1:4" ht="15" customHeight="1" x14ac:dyDescent="0.35">
      <c r="A13" s="9">
        <v>10</v>
      </c>
      <c r="B13" s="9">
        <f>MAX(0,Assumptions!$D$14-(20-A13))</f>
        <v>14</v>
      </c>
      <c r="C13" s="9">
        <f>IF(B13=0,0,(1-(1+Assumptions!$D$15)^-B13)/Assumptions!$D$15)</f>
        <v>9.2949839270054522</v>
      </c>
      <c r="D13" s="10">
        <f>Assumptions!$D$4*('Iteration 2'!$B$26)*Assumptions!$D$17*C13</f>
        <v>2168333.850491832</v>
      </c>
    </row>
    <row r="14" spans="1:4" ht="15" customHeight="1" x14ac:dyDescent="0.35">
      <c r="A14" s="9"/>
      <c r="B14" s="9"/>
      <c r="C14" s="9"/>
      <c r="D14" s="9"/>
    </row>
    <row r="15" spans="1:4" ht="15" customHeight="1" x14ac:dyDescent="0.35">
      <c r="A15" s="9" t="s">
        <v>90</v>
      </c>
      <c r="B15" s="9"/>
      <c r="C15" s="9"/>
      <c r="D15" s="9"/>
    </row>
    <row r="16" spans="1:4" ht="15" customHeight="1" x14ac:dyDescent="0.35">
      <c r="A16" s="9" t="s">
        <v>91</v>
      </c>
      <c r="B16" s="13">
        <f>SUM(D4:D13)</f>
        <v>16213433.113979109</v>
      </c>
      <c r="C16" s="9"/>
      <c r="D16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7"/>
  <sheetViews>
    <sheetView zoomScaleNormal="100" workbookViewId="0"/>
  </sheetViews>
  <sheetFormatPr defaultColWidth="8.7265625" defaultRowHeight="14.5" x14ac:dyDescent="0.35"/>
  <cols>
    <col min="1" max="1" width="60" customWidth="1"/>
    <col min="2" max="3" width="34" customWidth="1"/>
  </cols>
  <sheetData>
    <row r="1" spans="1:3" ht="17.5" customHeight="1" x14ac:dyDescent="0.4">
      <c r="A1" s="1" t="s">
        <v>92</v>
      </c>
      <c r="B1" s="9"/>
      <c r="C1" s="9"/>
    </row>
    <row r="2" spans="1:3" ht="15" customHeight="1" x14ac:dyDescent="0.35">
      <c r="A2" s="9"/>
      <c r="B2" s="9"/>
      <c r="C2" s="9"/>
    </row>
    <row r="3" spans="1:3" ht="15" customHeight="1" x14ac:dyDescent="0.35">
      <c r="A3" s="4" t="s">
        <v>93</v>
      </c>
      <c r="B3" s="4" t="s">
        <v>94</v>
      </c>
      <c r="C3" s="4" t="s">
        <v>95</v>
      </c>
    </row>
    <row r="4" spans="1:3" ht="15" customHeight="1" x14ac:dyDescent="0.35">
      <c r="A4" s="2" t="s">
        <v>96</v>
      </c>
      <c r="B4" s="14">
        <f>'Iteration 1'!B24</f>
        <v>-9231621.7424540296</v>
      </c>
      <c r="C4" s="14">
        <f>'Iteration 2'!B24</f>
        <v>2414615.4805412092</v>
      </c>
    </row>
    <row r="5" spans="1:3" ht="15" customHeight="1" x14ac:dyDescent="0.35">
      <c r="A5" s="2" t="s">
        <v>81</v>
      </c>
      <c r="B5" s="15">
        <f>'Iteration 1'!B25</f>
        <v>3.1166311473402875E-3</v>
      </c>
      <c r="C5" s="15">
        <f>'Iteration 2'!B25</f>
        <v>7.5565143230638343E-2</v>
      </c>
    </row>
    <row r="6" spans="1:3" ht="15" customHeight="1" x14ac:dyDescent="0.35">
      <c r="A6" s="2" t="s">
        <v>82</v>
      </c>
      <c r="B6" s="14">
        <f>'Iteration 1'!B26</f>
        <v>1083</v>
      </c>
      <c r="C6" s="14">
        <f>'Iteration 2'!B26</f>
        <v>1458</v>
      </c>
    </row>
    <row r="7" spans="1:3" ht="15" customHeight="1" x14ac:dyDescent="0.35">
      <c r="A7" s="2" t="s">
        <v>97</v>
      </c>
      <c r="B7" s="16">
        <f>'Iteration 1'!B27</f>
        <v>15.235457063711911</v>
      </c>
      <c r="C7" s="16">
        <f>'Iteration 2'!B27</f>
        <v>8.5733882030178332</v>
      </c>
    </row>
    <row r="8" spans="1:3" ht="15" customHeight="1" x14ac:dyDescent="0.35">
      <c r="A8" s="2" t="s">
        <v>98</v>
      </c>
      <c r="B8" s="17" t="str">
        <f>'Iteration 1'!B28</f>
        <v>FAIL – revise business model</v>
      </c>
      <c r="C8" s="17" t="str">
        <f>'Iteration 2'!B28</f>
        <v>PASS – proceed to EA/SE transformation</v>
      </c>
    </row>
    <row r="9" spans="1:3" ht="15" customHeight="1" x14ac:dyDescent="0.35">
      <c r="A9" s="9"/>
      <c r="B9" s="9"/>
      <c r="C9" s="9"/>
    </row>
    <row r="10" spans="1:3" ht="15" customHeight="1" x14ac:dyDescent="0.35">
      <c r="A10" s="3" t="s">
        <v>99</v>
      </c>
      <c r="B10" s="9" t="s">
        <v>100</v>
      </c>
      <c r="C10" s="9" t="s">
        <v>101</v>
      </c>
    </row>
    <row r="11" spans="1:3" ht="15" customHeight="1" x14ac:dyDescent="0.35">
      <c r="A11" s="9"/>
      <c r="B11" s="9"/>
      <c r="C11" s="9"/>
    </row>
    <row r="12" spans="1:3" ht="15" customHeight="1" x14ac:dyDescent="0.35">
      <c r="A12" s="3" t="s">
        <v>102</v>
      </c>
      <c r="B12" s="9"/>
      <c r="C12" s="9"/>
    </row>
    <row r="13" spans="1:3" ht="15" customHeight="1" x14ac:dyDescent="0.35">
      <c r="A13" s="9" t="s">
        <v>103</v>
      </c>
      <c r="B13" s="9"/>
      <c r="C13" s="9"/>
    </row>
    <row r="14" spans="1:3" ht="15" customHeight="1" x14ac:dyDescent="0.35">
      <c r="A14" s="9" t="s">
        <v>104</v>
      </c>
      <c r="B14" s="9"/>
      <c r="C14" s="9"/>
    </row>
    <row r="15" spans="1:3" ht="15" customHeight="1" x14ac:dyDescent="0.35">
      <c r="A15" s="9" t="s">
        <v>105</v>
      </c>
      <c r="B15" s="9"/>
      <c r="C15" s="9"/>
    </row>
    <row r="16" spans="1:3" ht="15" customHeight="1" x14ac:dyDescent="0.35">
      <c r="A16" s="9" t="s">
        <v>106</v>
      </c>
      <c r="B16" s="9"/>
      <c r="C16" s="9"/>
    </row>
    <row r="17" spans="1:3" ht="15" customHeight="1" x14ac:dyDescent="0.35">
      <c r="A17" s="9" t="s">
        <v>107</v>
      </c>
      <c r="B17" s="9"/>
      <c r="C17" s="9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Assumptions</vt:lpstr>
      <vt:lpstr>Iteration 1</vt:lpstr>
      <vt:lpstr>Iteration 2</vt:lpstr>
      <vt:lpstr>TVcalc</vt:lpstr>
      <vt:lpstr>TVcalc2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Hamza Bassam</cp:lastModifiedBy>
  <cp:revision>0</cp:revision>
  <dcterms:created xsi:type="dcterms:W3CDTF">2026-06-10T20:51:43Z</dcterms:created>
  <dcterms:modified xsi:type="dcterms:W3CDTF">2026-06-21T21:26:47Z</dcterms:modified>
  <cp:category/>
  <cp:contentStatus/>
</cp:coreProperties>
</file>
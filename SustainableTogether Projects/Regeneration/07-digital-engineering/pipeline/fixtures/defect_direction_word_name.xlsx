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Concepts" sheetId="3" state="visible" r:id="rId3"/>
    <sheet xmlns:r="http://schemas.openxmlformats.org/officeDocument/2006/relationships" name="CausalLinks" sheetId="4" state="visible" r:id="rId4"/>
    <sheet xmlns:r="http://schemas.openxmlformats.org/officeDocument/2006/relationships" name="Loops" sheetId="5" state="visible" r:id="rId5"/>
    <sheet xmlns:r="http://schemas.openxmlformats.org/officeDocument/2006/relationships" name="ChangeLo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2C5F2D"/>
      <sz val="16"/>
    </font>
    <font>
      <name val="Arial"/>
      <charset val="1"/>
      <family val="0"/>
      <i val="1"/>
      <color rgb="FF666666"/>
      <sz val="10"/>
    </font>
    <font>
      <name val="Arial"/>
      <charset val="1"/>
      <family val="0"/>
      <sz val="10"/>
    </font>
    <font>
      <name val="Arial"/>
      <charset val="1"/>
      <family val="0"/>
      <b val="1"/>
      <color rgb="FF2C5F2D"/>
      <sz val="12"/>
    </font>
    <font>
      <name val="Arial"/>
      <charset val="1"/>
      <family val="0"/>
      <b val="1"/>
      <color rgb="FFB26B00"/>
      <sz val="10"/>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2C5F2D"/>
        <bgColor rgb="FF333300"/>
      </patternFill>
    </fill>
    <fill>
      <patternFill patternType="solid">
        <fgColor rgb="FFFFF2CC"/>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26B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5F2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1" min="1" max="1"/>
    <col width="110" customWidth="1" style="11" min="2" max="2"/>
  </cols>
  <sheetData>
    <row r="1" ht="19.7" customHeight="1" s="12">
      <c r="B1" s="13" t="inlineStr">
        <is>
          <t>FBMC ⇄ CLD Concept Registry — Single Source of Truth</t>
        </is>
      </c>
    </row>
    <row r="2" ht="15" customHeight="1" s="12">
      <c r="B2" s="14" t="inlineStr">
        <is>
          <t>Version 0.1 (generic template) · SustainableTogether / INCOSE Sustainability WG · 2026-07-02</t>
        </is>
      </c>
    </row>
    <row r="3" ht="15" customHeight="1" s="12">
      <c r="B3" s="15" t="n"/>
    </row>
    <row r="4" ht="15" customHeight="1" s="12">
      <c r="B4" s="16" t="inlineStr">
        <is>
          <t>1. Purpose</t>
        </is>
      </c>
    </row>
    <row r="5" ht="46.25" customHeight="1" s="12">
      <c r="B5" s="15" t="inlineStr">
        <is>
          <t>This workbook is the Concept Registry defined in 'FBMC-CLD-Semantic-Alignment.docx' and the draw.io ontology (page 3). Every concept that appears in the Flourishing Business Model Canvas, the Causal Loop Diagram, the future Vensim SD model, and the Excel financial model exists here exactly once, with a stable ID. The canvas and the CLD are projections of this registry — they are never edited independently.</t>
        </is>
      </c>
    </row>
    <row r="6" ht="15" customHeight="1" s="12">
      <c r="B6" s="15" t="n"/>
    </row>
    <row r="7" ht="15" customHeight="1" s="12">
      <c r="B7" s="16" t="inlineStr">
        <is>
          <t>2. Sheets</t>
        </is>
      </c>
    </row>
    <row r="8" ht="23.85" customHeight="1" s="12">
      <c r="B8" s="15" t="inlineStr">
        <is>
          <t>Concepts — one row per MeasurableAttribute (the bridge concept: a measurable, time-varying attribute of exactly one FBMC element). Currently pre-filled with the 21 GENERIC concepts covering every FBMC block.</t>
        </is>
      </c>
    </row>
    <row r="9" ht="23.85" customHeight="1" s="12">
      <c r="B9" s="15" t="inlineStr">
        <is>
          <t>CausalLinks — one row per causal link between two concepts, with polarity (+/-) and delay flag. From/To names are looked up automatically from Concepts.</t>
        </is>
      </c>
    </row>
    <row r="10" ht="23.85" customHeight="1" s="12">
      <c r="B10" s="15" t="inlineStr">
        <is>
          <t>Loops — one row per feedback loop, as an ordered list of LinkIDs. Loop type R/B is DERIVED by formula from the number of negative links (odd = B). Never type R/B by hand.</t>
        </is>
      </c>
    </row>
    <row r="11" ht="15" customHeight="1" s="12">
      <c r="B11" s="15" t="inlineStr">
        <is>
          <t>ChangeLog — every change to any sheet is recorded here first. This is what keeps FBMC and CLD synchronized.</t>
        </is>
      </c>
    </row>
    <row r="12" ht="15" customHeight="1" s="12">
      <c r="B12" s="15" t="inlineStr">
        <is>
          <t>Lists — dropdown sources for data validation. Extend the lists here if a new FBMC block name or status value is ever needed.</t>
        </is>
      </c>
    </row>
    <row r="13" ht="15" customHeight="1" s="12">
      <c r="B13" s="15" t="n"/>
    </row>
    <row r="14" ht="15" customHeight="1" s="12">
      <c r="B14" s="16" t="inlineStr">
        <is>
          <t>3. How to APPEND a new concept (instantiation workflow)</t>
        </is>
      </c>
    </row>
    <row r="15" ht="23.85" customHeight="1" s="12">
      <c r="A15" s="17" t="n">
        <v>1</v>
      </c>
      <c r="B15" s="15" t="inlineStr">
        <is>
          <t>Identify the FBMC element the new concept belongs to. If there is no canvas element, STOP — either add the element to the canvas first, or the concept does not belong in the model (invariant I1).</t>
        </is>
      </c>
    </row>
    <row r="16" ht="23.85" customHeight="1" s="12">
      <c r="A16" s="17" t="n">
        <v>2</v>
      </c>
      <c r="B16" s="15" t="inlineStr">
        <is>
          <t>Ask: which measurable attribute of that element varies over time? Name it as a single-concept, direction-neutral noun phrase (no 'gain', 'reduction', 'pressure and X').</t>
        </is>
      </c>
    </row>
    <row r="17" ht="23.85" customHeight="1" s="12">
      <c r="A17" s="17" t="n">
        <v>3</v>
      </c>
      <c r="B17" s="15" t="inlineStr">
        <is>
          <t>Add a row in Concepts with the next free ID (prefix: GEN- for generic, PV- for the SustainaSun instantiation). IDs are NEVER reused, even after retirement.</t>
        </is>
      </c>
    </row>
    <row r="18" ht="23.85" customHeight="1" s="12">
      <c r="A18" s="17" t="n">
        <v>4</v>
      </c>
      <c r="B18" s="15" t="inlineStr">
        <is>
          <t>Fill: Definition, FBMC_Block (dropdown), FBMC_Element (the concrete canvas entry), Unit (mandatory before the SD stage), Dimension, SDType (dropdown; see derivation rules below), InCLDBoundary. If excluded from the CLD, give an ExclusionRationale (invariant I2).</t>
        </is>
      </c>
    </row>
    <row r="19" ht="15" customHeight="1" s="12">
      <c r="A19" s="17" t="n">
        <v>5</v>
      </c>
      <c r="B19" s="15" t="inlineStr">
        <is>
          <t>Record the addition in ChangeLog (type 'add') BEFORE publishing any artifact that uses it.</t>
        </is>
      </c>
    </row>
    <row r="20" ht="23.85" customHeight="1" s="12">
      <c r="A20" s="17" t="n">
        <v>6</v>
      </c>
      <c r="B20" s="15" t="inlineStr">
        <is>
          <t>Only then add CausalLinks that use the new concept, and update Loops if a feedback loop changes. Check the DerivedType column — if a loop's R/B changed, that is a finding, not an error.</t>
        </is>
      </c>
    </row>
    <row r="21" ht="15" customHeight="1" s="12">
      <c r="B21" s="15" t="n"/>
    </row>
    <row r="22" ht="15" customHeight="1" s="12">
      <c r="B22" s="16" t="inlineStr">
        <is>
          <t>4. How to RENAME / SPLIT / MERGE / RETIRE</t>
        </is>
      </c>
    </row>
    <row r="23" ht="23.85" customHeight="1" s="12">
      <c r="B23" s="15" t="inlineStr">
        <is>
          <t>Rename: change CanonicalName and CLDVariableName in place (same ID), log 'rename' in ChangeLog with old and new name in the description. Keep old artifact names in the Name_v1/Name_v2 columns for traceability.</t>
        </is>
      </c>
    </row>
    <row r="24" ht="15" customHeight="1" s="12">
      <c r="B24" s="15" t="inlineStr">
        <is>
          <t>Split: retire the old row (Status = retired, keep the row), create two new IDs, log 'split' referencing all three IDs.</t>
        </is>
      </c>
    </row>
    <row r="25" ht="15" customHeight="1" s="12">
      <c r="B25" s="15" t="inlineStr">
        <is>
          <t>Merge: retire both old rows, create one new ID, log 'merge'. Re-point all CausalLinks that referenced the retired IDs.</t>
        </is>
      </c>
    </row>
    <row r="26" ht="15" customHeight="1" s="12">
      <c r="B26" s="15" t="inlineStr">
        <is>
          <t>Retire: set Status = retired and InCLDBoundary = N with rationale. Never delete rows; never reuse IDs.</t>
        </is>
      </c>
    </row>
    <row r="27" ht="15" customHeight="1" s="12">
      <c r="B27" s="15" t="n"/>
    </row>
    <row r="28" ht="15" customHeight="1" s="12">
      <c r="B28" s="16" t="inlineStr">
        <is>
          <t>5. Derivation rules (FBMC element type → SDType)</t>
        </is>
      </c>
    </row>
    <row r="29" ht="35.05" customHeight="1" s="12">
      <c r="B29" s="15" t="inlineStr">
        <is>
          <t>Resource / Biophysical Stock / engaged Stakeholder population / slow Relationship → Stock.  Activity / Channel operation / Value Co-Creation / Co-Destruction → Flow.  Ecosystem Service / Need satisfaction / perception / quality / Partnership strength → Auxiliary.  Governance choice / contract term / policy → Parameter.  Goal+Indicator → Output (must appear in the CLD, invariant I6).</t>
        </is>
      </c>
    </row>
    <row r="30" ht="15" customHeight="1" s="12">
      <c r="B30" s="15" t="n"/>
    </row>
    <row r="31" ht="15" customHeight="1" s="12">
      <c r="B31" s="16" t="inlineStr">
        <is>
          <t>6. Invariants — check before publishing any FBMC / CLD version</t>
        </is>
      </c>
    </row>
    <row r="32" ht="35.05" customHeight="1" s="12">
      <c r="B32" s="15" t="inlineStr">
        <is>
          <t>I1 every CLD variable realizes exactly one Concept; every Concept anchors to exactly one FBMC element.  I2 every FBMC element has ≥1 concept in the CLD or an exclusion rationale.  I3 loop type is derived, never asserted.  I4 single-concept, direction-neutral names.  I5 actual ≠ perceived (separate concepts).  I6 every Goal/Indicator concept appears in the CLD.  I7 all changes go through ChangeLog first.</t>
        </is>
      </c>
    </row>
    <row r="33" ht="15" customHeight="1" s="12">
      <c r="B33" s="15" t="n"/>
    </row>
    <row r="34" ht="15" customHeight="1" s="12">
      <c r="B34" s="16" t="inlineStr">
        <is>
          <t>7. Cell colour code</t>
        </is>
      </c>
    </row>
    <row r="35" ht="23.85" customHeight="1" s="12">
      <c r="B35" s="15" t="inlineStr">
        <is>
          <t>Yellow background = manual input required when instantiating (e.g. Unit, FBMC_Element, NegLinkCount).  Black = formulas / fixed content — do not overwrite formula cells in CausalLinks (FromName/ToName) and Loops (DerivedType).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1" min="1" max="7"/>
  </cols>
  <sheetData>
    <row r="1" ht="15" customHeight="1" s="12">
      <c r="A1" s="18" t="inlineStr">
        <is>
          <t>FBMC_Block</t>
        </is>
      </c>
      <c r="B1" s="18" t="inlineStr">
        <is>
          <t>Dimension</t>
        </is>
      </c>
      <c r="C1" s="18" t="inlineStr">
        <is>
          <t>SDType</t>
        </is>
      </c>
      <c r="D1" s="18" t="inlineStr">
        <is>
          <t>YN</t>
        </is>
      </c>
      <c r="E1" s="18" t="inlineStr">
        <is>
          <t>Status</t>
        </is>
      </c>
      <c r="F1" s="18" t="inlineStr">
        <is>
          <t>ChangeType</t>
        </is>
      </c>
      <c r="G1" s="18" t="inlineStr">
        <is>
          <t>Polarity</t>
        </is>
      </c>
    </row>
    <row r="2" ht="15" customHeight="1" s="12">
      <c r="A2" s="11" t="inlineStr">
        <is>
          <t>Actors (Who)</t>
        </is>
      </c>
      <c r="B2" s="11" t="inlineStr">
        <is>
          <t>Econ</t>
        </is>
      </c>
      <c r="C2" s="11" t="inlineStr">
        <is>
          <t>Stock</t>
        </is>
      </c>
      <c r="D2" s="11" t="inlineStr">
        <is>
          <t>Y</t>
        </is>
      </c>
      <c r="E2" s="11" t="inlineStr">
        <is>
          <t>draft</t>
        </is>
      </c>
      <c r="F2" s="11" t="inlineStr">
        <is>
          <t>add</t>
        </is>
      </c>
      <c r="G2" s="11" t="inlineStr">
        <is>
          <t>+</t>
        </is>
      </c>
    </row>
    <row r="3" ht="15" customHeight="1" s="12">
      <c r="A3" s="11" t="inlineStr">
        <is>
          <t>Needs (Who)</t>
        </is>
      </c>
      <c r="B3" s="11" t="inlineStr">
        <is>
          <t>Soc</t>
        </is>
      </c>
      <c r="C3" s="11" t="inlineStr">
        <is>
          <t>Flow</t>
        </is>
      </c>
      <c r="D3" s="11" t="inlineStr">
        <is>
          <t>N</t>
        </is>
      </c>
      <c r="E3" s="11" t="inlineStr">
        <is>
          <t>reviewed</t>
        </is>
      </c>
      <c r="F3" s="11" t="inlineStr">
        <is>
          <t>rename</t>
        </is>
      </c>
      <c r="G3" s="11" t="inlineStr">
        <is>
          <t>-</t>
        </is>
      </c>
    </row>
    <row r="4" ht="15" customHeight="1" s="12">
      <c r="A4" s="11" t="inlineStr">
        <is>
          <t>Stakeholders (Who)</t>
        </is>
      </c>
      <c r="B4" s="11" t="inlineStr">
        <is>
          <t>Eco</t>
        </is>
      </c>
      <c r="C4" s="11" t="inlineStr">
        <is>
          <t>Auxiliary</t>
        </is>
      </c>
      <c r="E4" s="11" t="inlineStr">
        <is>
          <t>approved</t>
        </is>
      </c>
      <c r="F4" s="11" t="inlineStr">
        <is>
          <t>split</t>
        </is>
      </c>
    </row>
    <row r="5" ht="15" customHeight="1" s="12">
      <c r="A5" s="11" t="inlineStr">
        <is>
          <t>Relationships (People)</t>
        </is>
      </c>
      <c r="B5" s="11" t="inlineStr">
        <is>
          <t>Econ+Soc</t>
        </is>
      </c>
      <c r="C5" s="11" t="inlineStr">
        <is>
          <t>Parameter</t>
        </is>
      </c>
      <c r="E5" s="11" t="inlineStr">
        <is>
          <t>retired</t>
        </is>
      </c>
      <c r="F5" s="11" t="inlineStr">
        <is>
          <t>merge</t>
        </is>
      </c>
    </row>
    <row r="6" ht="15" customHeight="1" s="12">
      <c r="A6" s="11" t="inlineStr">
        <is>
          <t>Channels (People)</t>
        </is>
      </c>
      <c r="B6" s="11" t="inlineStr">
        <is>
          <t>Econ+Eco</t>
        </is>
      </c>
      <c r="C6" s="11" t="inlineStr">
        <is>
          <t>Output</t>
        </is>
      </c>
      <c r="F6" s="11" t="inlineStr">
        <is>
          <t>retire</t>
        </is>
      </c>
    </row>
    <row r="7" ht="15" customHeight="1" s="12">
      <c r="A7" s="11" t="inlineStr">
        <is>
          <t>Value Co-Creations (Value)</t>
        </is>
      </c>
      <c r="B7" s="11" t="inlineStr">
        <is>
          <t>Soc+Eco</t>
        </is>
      </c>
      <c r="F7" s="11" t="inlineStr">
        <is>
          <t>link-change</t>
        </is>
      </c>
    </row>
    <row r="8" ht="15" customHeight="1" s="12">
      <c r="A8" s="11" t="inlineStr">
        <is>
          <t>Value Co-Destructions (Value)</t>
        </is>
      </c>
      <c r="B8" s="11" t="inlineStr">
        <is>
          <t>Econ+Soc+Eco</t>
        </is>
      </c>
      <c r="F8" s="11" t="inlineStr">
        <is>
          <t>loop-change</t>
        </is>
      </c>
    </row>
    <row r="9" ht="15" customHeight="1" s="12">
      <c r="A9" s="11" t="inlineStr">
        <is>
          <t>Products/Services (Value)</t>
        </is>
      </c>
      <c r="F9" s="11" t="inlineStr">
        <is>
          <t>gate-approval</t>
        </is>
      </c>
    </row>
    <row r="10" ht="15" customHeight="1" s="12">
      <c r="A10" s="11" t="inlineStr">
        <is>
          <t>Activities (Process)</t>
        </is>
      </c>
    </row>
    <row r="11" ht="15" customHeight="1" s="12">
      <c r="A11" s="11" t="inlineStr">
        <is>
          <t>Resources (Process)</t>
        </is>
      </c>
    </row>
    <row r="12" ht="15" customHeight="1" s="12">
      <c r="A12" s="11" t="inlineStr">
        <is>
          <t>Partnerships (Process)</t>
        </is>
      </c>
    </row>
    <row r="13" ht="15" customHeight="1" s="12">
      <c r="A13" s="11" t="inlineStr">
        <is>
          <t>Governance (Process)</t>
        </is>
      </c>
    </row>
    <row r="14" ht="15" customHeight="1" s="12">
      <c r="A14" s="11" t="inlineStr">
        <is>
          <t>Biophysical Stocks (Environment)</t>
        </is>
      </c>
    </row>
    <row r="15" ht="15" customHeight="1" s="12">
      <c r="A15" s="11" t="inlineStr">
        <is>
          <t>Ecosystem Services (Environment)</t>
        </is>
      </c>
    </row>
    <row r="16" ht="15" customHeight="1" s="12">
      <c r="A16" s="11" t="inlineStr">
        <is>
          <t>Costs (Outcomes)</t>
        </is>
      </c>
    </row>
    <row r="17" ht="15" customHeight="1" s="12">
      <c r="A17" s="11" t="inlineStr">
        <is>
          <t>Benefits (Outcomes)</t>
        </is>
      </c>
    </row>
    <row r="18" ht="15" customHeight="1" s="12">
      <c r="A18" s="11" t="inlineStr">
        <is>
          <t>Goals (Outcomes)</t>
        </is>
      </c>
    </row>
    <row r="19" ht="15" customHeight="1" s="12">
      <c r="A19" s="11" t="inlineStr">
        <is>
          <t>Context: Environment</t>
        </is>
      </c>
    </row>
    <row r="20" ht="15" customHeight="1" s="12">
      <c r="A20" s="11" t="inlineStr">
        <is>
          <t>Context: Society</t>
        </is>
      </c>
    </row>
    <row r="21" ht="15" customHeight="1" s="12">
      <c r="A21" s="11" t="inlineStr">
        <is>
          <t>Context: Economy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4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0" customWidth="1" style="11" min="1" max="1"/>
    <col width="28" customWidth="1" style="11" min="2" max="2"/>
    <col width="52" customWidth="1" style="11" min="3" max="3"/>
    <col width="26" customWidth="1" style="11" min="4" max="4"/>
    <col width="24" customWidth="1" style="11" min="5" max="5"/>
    <col width="14" customWidth="1" style="11" min="6" max="6"/>
    <col width="12" customWidth="1" style="11" min="7" max="7"/>
    <col width="11" customWidth="1" style="11" min="8" max="8"/>
    <col width="13" customWidth="1" style="11" min="9" max="9"/>
    <col width="24" customWidth="1" style="11" min="10" max="10"/>
    <col width="28" customWidth="1" style="11" min="11" max="11"/>
    <col width="24" customWidth="1" style="11" min="12" max="13"/>
    <col width="10" customWidth="1" style="11" min="14" max="14"/>
    <col width="9" customWidth="1" style="11" min="15" max="15"/>
    <col width="26" customWidth="1" style="11" min="16" max="16"/>
  </cols>
  <sheetData>
    <row r="1" ht="23.85" customHeight="1" s="12">
      <c r="A1" s="19" t="inlineStr">
        <is>
          <t>ID</t>
        </is>
      </c>
      <c r="B1" s="19" t="inlineStr">
        <is>
          <t>CanonicalName</t>
        </is>
      </c>
      <c r="C1" s="19" t="inlineStr">
        <is>
          <t>Definition</t>
        </is>
      </c>
      <c r="D1" s="19" t="inlineStr">
        <is>
          <t>FBMC_Block</t>
        </is>
      </c>
      <c r="E1" s="19" t="inlineStr">
        <is>
          <t>FBMC_Element (instance)</t>
        </is>
      </c>
      <c r="F1" s="19" t="inlineStr">
        <is>
          <t>Unit</t>
        </is>
      </c>
      <c r="G1" s="19" t="inlineStr">
        <is>
          <t>Dimension</t>
        </is>
      </c>
      <c r="H1" s="19" t="inlineStr">
        <is>
          <t>SDType</t>
        </is>
      </c>
      <c r="I1" s="19" t="inlineStr">
        <is>
          <t>InCLDBoundary</t>
        </is>
      </c>
      <c r="J1" s="19" t="inlineStr">
        <is>
          <t>ExclusionRationale</t>
        </is>
      </c>
      <c r="K1" s="19" t="inlineStr">
        <is>
          <t>CLDVariableName</t>
        </is>
      </c>
      <c r="L1" s="19" t="inlineStr">
        <is>
          <t>Name_v1 (paper 1)</t>
        </is>
      </c>
      <c r="M1" s="19" t="inlineStr">
        <is>
          <t>Name_v2 (paper 2)</t>
        </is>
      </c>
      <c r="N1" s="19" t="inlineStr">
        <is>
          <t>Status</t>
        </is>
      </c>
      <c r="O1" s="19" t="inlineStr">
        <is>
          <t>Version</t>
        </is>
      </c>
      <c r="P1" s="19" t="inlineStr">
        <is>
          <t>Notes</t>
        </is>
      </c>
    </row>
    <row r="2" ht="23.85" customHeight="1" s="12">
      <c r="A2" s="20" t="inlineStr">
        <is>
          <t>GEN-001</t>
        </is>
      </c>
      <c r="B2" s="20" t="inlineStr">
        <is>
          <t>remaining addressable actor pool</t>
        </is>
      </c>
      <c r="C2" s="20" t="inlineStr">
        <is>
          <t>Number of actors who could take a stakeholder role but have not yet engaged</t>
        </is>
      </c>
      <c r="D2" s="20" t="inlineStr">
        <is>
          <t>Actors (Who)</t>
        </is>
      </c>
      <c r="E2" s="21" t="n"/>
      <c r="F2" s="21" t="inlineStr">
        <is>
          <t>actors</t>
        </is>
      </c>
      <c r="G2" s="20" t="inlineStr">
        <is>
          <t>Econ+Soc</t>
        </is>
      </c>
      <c r="H2" s="20" t="inlineStr">
        <is>
          <t>Stock</t>
        </is>
      </c>
      <c r="I2" s="20" t="inlineStr">
        <is>
          <t>Y</t>
        </is>
      </c>
      <c r="J2" s="20" t="n"/>
      <c r="K2" s="20" t="inlineStr">
        <is>
          <t>remaining addressable actor pool</t>
        </is>
      </c>
      <c r="L2" s="21" t="n"/>
      <c r="M2" s="21" t="n"/>
      <c r="N2" s="20" t="inlineStr">
        <is>
          <t>draft</t>
        </is>
      </c>
      <c r="O2" s="20" t="inlineStr">
        <is>
          <t>0.1</t>
        </is>
      </c>
      <c r="P2" s="20" t="n"/>
    </row>
    <row r="3" ht="23.85" customHeight="1" s="12">
      <c r="A3" s="20" t="inlineStr">
        <is>
          <t>GEN-002</t>
        </is>
      </c>
      <c r="B3" s="20" t="inlineStr">
        <is>
          <t>need satisfaction increase</t>
        </is>
      </c>
      <c r="C3" s="20" t="inlineStr">
        <is>
          <t>Degree to which the fundamental needs of engaged stakeholders are met</t>
        </is>
      </c>
      <c r="D3" s="20" t="inlineStr">
        <is>
          <t>Needs (Who)</t>
        </is>
      </c>
      <c r="E3" s="21" t="n"/>
      <c r="F3" s="21" t="inlineStr">
        <is>
          <t>dmnl (0-1)</t>
        </is>
      </c>
      <c r="G3" s="20" t="inlineStr">
        <is>
          <t>Soc</t>
        </is>
      </c>
      <c r="H3" s="20" t="inlineStr">
        <is>
          <t>Auxiliary</t>
        </is>
      </c>
      <c r="I3" s="20" t="inlineStr">
        <is>
          <t>Y</t>
        </is>
      </c>
      <c r="J3" s="20" t="n"/>
      <c r="K3" s="20" t="inlineStr">
        <is>
          <t>need satisfaction level</t>
        </is>
      </c>
      <c r="L3" s="21" t="n"/>
      <c r="M3" s="21" t="n"/>
      <c r="N3" s="20" t="inlineStr">
        <is>
          <t>draft</t>
        </is>
      </c>
      <c r="O3" s="20" t="inlineStr">
        <is>
          <t>0.1</t>
        </is>
      </c>
      <c r="P3" s="20" t="n"/>
    </row>
    <row r="4" ht="15" customHeight="1" s="12">
      <c r="A4" s="20" t="inlineStr">
        <is>
          <t>GEN-003</t>
        </is>
      </c>
      <c r="B4" s="20" t="inlineStr">
        <is>
          <t>engaged stakeholder base</t>
        </is>
      </c>
      <c r="C4" s="20" t="inlineStr">
        <is>
          <t>Number of actors currently holding an active stakeholder role</t>
        </is>
      </c>
      <c r="D4" s="20" t="inlineStr">
        <is>
          <t>Stakeholders (Who)</t>
        </is>
      </c>
      <c r="E4" s="21" t="n"/>
      <c r="F4" s="21" t="inlineStr">
        <is>
          <t>actors</t>
        </is>
      </c>
      <c r="G4" s="20" t="inlineStr">
        <is>
          <t>Econ+Soc</t>
        </is>
      </c>
      <c r="H4" s="20" t="inlineStr">
        <is>
          <t>Stock</t>
        </is>
      </c>
      <c r="I4" s="20" t="inlineStr">
        <is>
          <t>Y</t>
        </is>
      </c>
      <c r="J4" s="20" t="n"/>
      <c r="K4" s="20" t="inlineStr">
        <is>
          <t>engaged stakeholder base</t>
        </is>
      </c>
      <c r="L4" s="21" t="n"/>
      <c r="M4" s="21" t="n"/>
      <c r="N4" s="20" t="inlineStr">
        <is>
          <t>draft</t>
        </is>
      </c>
      <c r="O4" s="20" t="inlineStr">
        <is>
          <t>0.1</t>
        </is>
      </c>
      <c r="P4" s="20" t="n"/>
    </row>
    <row r="5" ht="15" customHeight="1" s="12">
      <c r="A5" s="20" t="inlineStr">
        <is>
          <t>GEN-004</t>
        </is>
      </c>
      <c r="B5" s="20" t="inlineStr">
        <is>
          <t>relationship strength and trust</t>
        </is>
      </c>
      <c r="C5" s="20" t="inlineStr">
        <is>
          <t>Accumulated quality of the firm-stakeholder connection</t>
        </is>
      </c>
      <c r="D5" s="20" t="inlineStr">
        <is>
          <t>Relationships (People)</t>
        </is>
      </c>
      <c r="E5" s="21" t="n"/>
      <c r="F5" s="21" t="inlineStr">
        <is>
          <t>dmnl (0-1)</t>
        </is>
      </c>
      <c r="G5" s="20" t="inlineStr">
        <is>
          <t>Soc</t>
        </is>
      </c>
      <c r="H5" s="20" t="inlineStr">
        <is>
          <t>Stock</t>
        </is>
      </c>
      <c r="I5" s="20" t="inlineStr">
        <is>
          <t>Y</t>
        </is>
      </c>
      <c r="J5" s="20" t="n"/>
      <c r="K5" s="20" t="inlineStr">
        <is>
          <t>relationship strength and trust</t>
        </is>
      </c>
      <c r="L5" s="21" t="n"/>
      <c r="M5" s="21" t="n"/>
      <c r="N5" s="20" t="inlineStr">
        <is>
          <t>draft</t>
        </is>
      </c>
      <c r="O5" s="20" t="inlineStr">
        <is>
          <t>0.1</t>
        </is>
      </c>
      <c r="P5" s="20" t="n"/>
    </row>
    <row r="6" ht="23.85" customHeight="1" s="12">
      <c r="A6" s="20" t="inlineStr">
        <is>
          <t>GEN-005</t>
        </is>
      </c>
      <c r="B6" s="20" t="inlineStr">
        <is>
          <t>engagement rate</t>
        </is>
      </c>
      <c r="C6" s="20" t="inlineStr">
        <is>
          <t>Rate at which new actors become engaged stakeholders via channels</t>
        </is>
      </c>
      <c r="D6" s="20" t="inlineStr">
        <is>
          <t>Channels (People)</t>
        </is>
      </c>
      <c r="E6" s="21" t="n"/>
      <c r="F6" s="21" t="inlineStr">
        <is>
          <t>actors/year</t>
        </is>
      </c>
      <c r="G6" s="20" t="inlineStr">
        <is>
          <t>Econ+Soc</t>
        </is>
      </c>
      <c r="H6" s="20" t="inlineStr">
        <is>
          <t>Flow</t>
        </is>
      </c>
      <c r="I6" s="20" t="inlineStr">
        <is>
          <t>Y</t>
        </is>
      </c>
      <c r="J6" s="20" t="n"/>
      <c r="K6" s="20" t="inlineStr">
        <is>
          <t>engagement rate</t>
        </is>
      </c>
      <c r="L6" s="21" t="n"/>
      <c r="M6" s="21" t="n"/>
      <c r="N6" s="20" t="inlineStr">
        <is>
          <t>draft</t>
        </is>
      </c>
      <c r="O6" s="20" t="inlineStr">
        <is>
          <t>0.1</t>
        </is>
      </c>
      <c r="P6" s="20" t="n"/>
    </row>
    <row r="7" ht="23.85" customHeight="1" s="12">
      <c r="A7" s="20" t="inlineStr">
        <is>
          <t>GEN-006</t>
        </is>
      </c>
      <c r="B7" s="20" t="inlineStr">
        <is>
          <t>value co-creation rate</t>
        </is>
      </c>
      <c r="C7" s="20" t="inlineStr">
        <is>
          <t>Rate at which positive value is created with and for stakeholders</t>
        </is>
      </c>
      <c r="D7" s="20" t="inlineStr">
        <is>
          <t>Value Co-Creations (Value)</t>
        </is>
      </c>
      <c r="E7" s="21" t="n"/>
      <c r="F7" s="21" t="inlineStr">
        <is>
          <t>value/year</t>
        </is>
      </c>
      <c r="G7" s="20" t="inlineStr">
        <is>
          <t>Econ+Soc+Eco</t>
        </is>
      </c>
      <c r="H7" s="20" t="inlineStr">
        <is>
          <t>Flow</t>
        </is>
      </c>
      <c r="I7" s="20" t="inlineStr">
        <is>
          <t>Y</t>
        </is>
      </c>
      <c r="J7" s="20" t="n"/>
      <c r="K7" s="20" t="inlineStr">
        <is>
          <t>value co-creation rate</t>
        </is>
      </c>
      <c r="L7" s="21" t="n"/>
      <c r="M7" s="21" t="n"/>
      <c r="N7" s="20" t="inlineStr">
        <is>
          <t>draft</t>
        </is>
      </c>
      <c r="O7" s="20" t="inlineStr">
        <is>
          <t>0.1</t>
        </is>
      </c>
      <c r="P7" s="20" t="n"/>
    </row>
    <row r="8" ht="23.85" customHeight="1" s="12">
      <c r="A8" s="20" t="inlineStr">
        <is>
          <t>GEN-007</t>
        </is>
      </c>
      <c r="B8" s="20" t="inlineStr">
        <is>
          <t>value co-destruction rate</t>
        </is>
      </c>
      <c r="C8" s="20" t="inlineStr">
        <is>
          <t>Rate at which harm / negative value is generated for stakeholders</t>
        </is>
      </c>
      <c r="D8" s="20" t="inlineStr">
        <is>
          <t>Value Co-Destructions (Value)</t>
        </is>
      </c>
      <c r="E8" s="21" t="n"/>
      <c r="F8" s="21" t="inlineStr">
        <is>
          <t>value/year</t>
        </is>
      </c>
      <c r="G8" s="20" t="inlineStr">
        <is>
          <t>Econ+Soc+Eco</t>
        </is>
      </c>
      <c r="H8" s="20" t="inlineStr">
        <is>
          <t>Flow</t>
        </is>
      </c>
      <c r="I8" s="20" t="inlineStr">
        <is>
          <t>Y</t>
        </is>
      </c>
      <c r="J8" s="20" t="n"/>
      <c r="K8" s="20" t="inlineStr">
        <is>
          <t>value co-destruction rate</t>
        </is>
      </c>
      <c r="L8" s="21" t="n"/>
      <c r="M8" s="21" t="n"/>
      <c r="N8" s="20" t="inlineStr">
        <is>
          <t>draft</t>
        </is>
      </c>
      <c r="O8" s="20" t="inlineStr">
        <is>
          <t>0.1</t>
        </is>
      </c>
      <c r="P8" s="20" t="n"/>
    </row>
    <row r="9" ht="23.85" customHeight="1" s="12">
      <c r="A9" s="20" t="inlineStr">
        <is>
          <t>GEN-008</t>
        </is>
      </c>
      <c r="B9" s="20" t="inlineStr">
        <is>
          <t>offering delivery quality</t>
        </is>
      </c>
      <c r="C9" s="20" t="inlineStr">
        <is>
          <t>Quality and availability of the products/services carrying the value propositions</t>
        </is>
      </c>
      <c r="D9" s="20" t="inlineStr">
        <is>
          <t>Products/Services (Value)</t>
        </is>
      </c>
      <c r="E9" s="21" t="n"/>
      <c r="F9" s="21" t="inlineStr">
        <is>
          <t>dmnl (0-1)</t>
        </is>
      </c>
      <c r="G9" s="20" t="inlineStr">
        <is>
          <t>Econ</t>
        </is>
      </c>
      <c r="H9" s="20" t="inlineStr">
        <is>
          <t>Auxiliary</t>
        </is>
      </c>
      <c r="I9" s="20" t="inlineStr">
        <is>
          <t>Y</t>
        </is>
      </c>
      <c r="J9" s="20" t="n"/>
      <c r="K9" s="20" t="inlineStr">
        <is>
          <t>offering delivery quality</t>
        </is>
      </c>
      <c r="L9" s="21" t="n"/>
      <c r="M9" s="21" t="n"/>
      <c r="N9" s="20" t="inlineStr">
        <is>
          <t>draft</t>
        </is>
      </c>
      <c r="O9" s="20" t="inlineStr">
        <is>
          <t>0.1</t>
        </is>
      </c>
      <c r="P9" s="20" t="n"/>
    </row>
    <row r="10" ht="15" customHeight="1" s="12">
      <c r="A10" s="20" t="inlineStr">
        <is>
          <t>GEN-009</t>
        </is>
      </c>
      <c r="B10" s="20" t="inlineStr">
        <is>
          <t>activity throughput</t>
        </is>
      </c>
      <c r="C10" s="20" t="inlineStr">
        <is>
          <t>Volume of value-creating processes performed per unit time</t>
        </is>
      </c>
      <c r="D10" s="20" t="inlineStr">
        <is>
          <t>Activities (Process)</t>
        </is>
      </c>
      <c r="E10" s="21" t="n"/>
      <c r="F10" s="21" t="inlineStr">
        <is>
          <t>units/year</t>
        </is>
      </c>
      <c r="G10" s="20" t="inlineStr">
        <is>
          <t>Econ</t>
        </is>
      </c>
      <c r="H10" s="20" t="inlineStr">
        <is>
          <t>Flow</t>
        </is>
      </c>
      <c r="I10" s="20" t="inlineStr">
        <is>
          <t>Y</t>
        </is>
      </c>
      <c r="J10" s="20" t="n"/>
      <c r="K10" s="20" t="inlineStr">
        <is>
          <t>activity throughput</t>
        </is>
      </c>
      <c r="L10" s="21" t="n"/>
      <c r="M10" s="21" t="n"/>
      <c r="N10" s="20" t="inlineStr">
        <is>
          <t>draft</t>
        </is>
      </c>
      <c r="O10" s="20" t="inlineStr">
        <is>
          <t>0.1</t>
        </is>
      </c>
      <c r="P10" s="20" t="n"/>
    </row>
    <row r="11" ht="23.85" customHeight="1" s="12">
      <c r="A11" s="20" t="inlineStr">
        <is>
          <t>GEN-010</t>
        </is>
      </c>
      <c r="B11" s="20" t="inlineStr">
        <is>
          <t>resource and capability stock</t>
        </is>
      </c>
      <c r="C11" s="20" t="inlineStr">
        <is>
          <t>Accumulated resources, capabilities and capital available to activities</t>
        </is>
      </c>
      <c r="D11" s="20" t="inlineStr">
        <is>
          <t>Resources (Process)</t>
        </is>
      </c>
      <c r="E11" s="21" t="n"/>
      <c r="F11" s="21" t="inlineStr">
        <is>
          <t>resource units</t>
        </is>
      </c>
      <c r="G11" s="20" t="inlineStr">
        <is>
          <t>Econ</t>
        </is>
      </c>
      <c r="H11" s="20" t="inlineStr">
        <is>
          <t>Stock</t>
        </is>
      </c>
      <c r="I11" s="20" t="inlineStr">
        <is>
          <t>Y</t>
        </is>
      </c>
      <c r="J11" s="20" t="n"/>
      <c r="K11" s="20" t="inlineStr">
        <is>
          <t>resource and capability stock</t>
        </is>
      </c>
      <c r="L11" s="21" t="n"/>
      <c r="M11" s="21" t="n"/>
      <c r="N11" s="20" t="inlineStr">
        <is>
          <t>draft</t>
        </is>
      </c>
      <c r="O11" s="20" t="inlineStr">
        <is>
          <t>0.1</t>
        </is>
      </c>
      <c r="P11" s="20" t="n"/>
    </row>
    <row r="12" ht="23.85" customHeight="1" s="12">
      <c r="A12" s="20" t="inlineStr">
        <is>
          <t>GEN-011</t>
        </is>
      </c>
      <c r="B12" s="20" t="inlineStr">
        <is>
          <t>activity capacity</t>
        </is>
      </c>
      <c r="C12" s="20" t="inlineStr">
        <is>
          <t>Maximum activity throughput the current resource stock supports</t>
        </is>
      </c>
      <c r="D12" s="20" t="inlineStr">
        <is>
          <t>Resources (Process)</t>
        </is>
      </c>
      <c r="E12" s="21" t="n"/>
      <c r="F12" s="21" t="inlineStr">
        <is>
          <t>units/year</t>
        </is>
      </c>
      <c r="G12" s="20" t="inlineStr">
        <is>
          <t>Econ</t>
        </is>
      </c>
      <c r="H12" s="20" t="inlineStr">
        <is>
          <t>Auxiliary</t>
        </is>
      </c>
      <c r="I12" s="20" t="inlineStr">
        <is>
          <t>Y</t>
        </is>
      </c>
      <c r="J12" s="20" t="n"/>
      <c r="K12" s="20" t="inlineStr">
        <is>
          <t>activity capacity</t>
        </is>
      </c>
      <c r="L12" s="21" t="n"/>
      <c r="M12" s="21" t="n"/>
      <c r="N12" s="20" t="inlineStr">
        <is>
          <t>draft</t>
        </is>
      </c>
      <c r="O12" s="20" t="inlineStr">
        <is>
          <t>0.1</t>
        </is>
      </c>
      <c r="P12" s="20" t="n"/>
    </row>
    <row r="13" ht="23.85" customHeight="1" s="12">
      <c r="A13" s="20" t="inlineStr">
        <is>
          <t>GEN-012</t>
        </is>
      </c>
      <c r="B13" s="20" t="inlineStr">
        <is>
          <t>partnership strength</t>
        </is>
      </c>
      <c r="C13" s="20" t="inlineStr">
        <is>
          <t>Strength and coverage of formal agreements with partner organizations</t>
        </is>
      </c>
      <c r="D13" s="20" t="inlineStr">
        <is>
          <t>Partnerships (Process)</t>
        </is>
      </c>
      <c r="E13" s="21" t="n"/>
      <c r="F13" s="21" t="inlineStr">
        <is>
          <t>dmnl (0-1)</t>
        </is>
      </c>
      <c r="G13" s="20" t="inlineStr">
        <is>
          <t>Econ+Soc</t>
        </is>
      </c>
      <c r="H13" s="20" t="inlineStr">
        <is>
          <t>Auxiliary</t>
        </is>
      </c>
      <c r="I13" s="20" t="inlineStr">
        <is>
          <t>Y</t>
        </is>
      </c>
      <c r="J13" s="20" t="n"/>
      <c r="K13" s="20" t="inlineStr">
        <is>
          <t>partnership strength</t>
        </is>
      </c>
      <c r="L13" s="21" t="n"/>
      <c r="M13" s="21" t="n"/>
      <c r="N13" s="20" t="inlineStr">
        <is>
          <t>draft</t>
        </is>
      </c>
      <c r="O13" s="20" t="inlineStr">
        <is>
          <t>0.1</t>
        </is>
      </c>
      <c r="P13" s="20" t="n"/>
    </row>
    <row r="14" ht="23.85" customHeight="1" s="12">
      <c r="A14" s="20" t="inlineStr">
        <is>
          <t>GEN-013</t>
        </is>
      </c>
      <c r="B14" s="20" t="inlineStr">
        <is>
          <t>governance response</t>
        </is>
      </c>
      <c r="C14" s="20" t="inlineStr">
        <is>
          <t>Intensity and responsiveness of corrective decisions</t>
        </is>
      </c>
      <c r="D14" s="20" t="inlineStr">
        <is>
          <t>Governance (Process)</t>
        </is>
      </c>
      <c r="E14" s="21" t="n"/>
      <c r="F14" s="21" t="inlineStr">
        <is>
          <t>dmnl (0-1)</t>
        </is>
      </c>
      <c r="G14" s="20" t="inlineStr">
        <is>
          <t>Econ+Soc+Eco</t>
        </is>
      </c>
      <c r="H14" s="20" t="inlineStr">
        <is>
          <t>Auxiliary</t>
        </is>
      </c>
      <c r="I14" s="20" t="inlineStr">
        <is>
          <t>Y</t>
        </is>
      </c>
      <c r="J14" s="20" t="n"/>
      <c r="K14" s="20" t="inlineStr">
        <is>
          <t>governance response</t>
        </is>
      </c>
      <c r="L14" s="21" t="n"/>
      <c r="M14" s="21" t="n"/>
      <c r="N14" s="20" t="inlineStr">
        <is>
          <t>draft</t>
        </is>
      </c>
      <c r="O14" s="20" t="inlineStr">
        <is>
          <t>0.1</t>
        </is>
      </c>
      <c r="P14" s="20" t="n"/>
    </row>
    <row r="15" ht="23.85" customHeight="1" s="12">
      <c r="A15" s="20" t="inlineStr">
        <is>
          <t>GEN-014</t>
        </is>
      </c>
      <c r="B15" s="20" t="inlineStr">
        <is>
          <t>biophysical stock level</t>
        </is>
      </c>
      <c r="C15" s="20" t="inlineStr">
        <is>
          <t>Level of the natural material stocks the business draws upon</t>
        </is>
      </c>
      <c r="D15" s="20" t="inlineStr">
        <is>
          <t>Biophysical Stocks (Environment)</t>
        </is>
      </c>
      <c r="E15" s="21" t="n"/>
      <c r="F15" s="21" t="inlineStr">
        <is>
          <t>material units</t>
        </is>
      </c>
      <c r="G15" s="20" t="inlineStr">
        <is>
          <t>Eco</t>
        </is>
      </c>
      <c r="H15" s="20" t="inlineStr">
        <is>
          <t>Stock</t>
        </is>
      </c>
      <c r="I15" s="20" t="inlineStr">
        <is>
          <t>Y</t>
        </is>
      </c>
      <c r="J15" s="20" t="n"/>
      <c r="K15" s="20" t="inlineStr">
        <is>
          <t>biophysical stock level</t>
        </is>
      </c>
      <c r="L15" s="21" t="n"/>
      <c r="M15" s="21" t="n"/>
      <c r="N15" s="20" t="inlineStr">
        <is>
          <t>draft</t>
        </is>
      </c>
      <c r="O15" s="20" t="inlineStr">
        <is>
          <t>0.1</t>
        </is>
      </c>
      <c r="P15" s="20" t="n"/>
    </row>
    <row r="16" ht="23.85" customHeight="1" s="12">
      <c r="A16" s="20" t="inlineStr">
        <is>
          <t>GEN-015</t>
        </is>
      </c>
      <c r="B16" s="20" t="inlineStr">
        <is>
          <t>extraction and impact rate</t>
        </is>
      </c>
      <c r="C16" s="20" t="inlineStr">
        <is>
          <t>Rate at which activities deplete biophysical stocks / impose impacts</t>
        </is>
      </c>
      <c r="D16" s="20" t="inlineStr">
        <is>
          <t>Biophysical Stocks (Environment)</t>
        </is>
      </c>
      <c r="E16" s="21" t="n"/>
      <c r="F16" s="21" t="inlineStr">
        <is>
          <t>material units/year</t>
        </is>
      </c>
      <c r="G16" s="20" t="inlineStr">
        <is>
          <t>Eco</t>
        </is>
      </c>
      <c r="H16" s="20" t="inlineStr">
        <is>
          <t>Flow</t>
        </is>
      </c>
      <c r="I16" s="20" t="inlineStr">
        <is>
          <t>Y</t>
        </is>
      </c>
      <c r="J16" s="20" t="n"/>
      <c r="K16" s="20" t="inlineStr">
        <is>
          <t>extraction and impact rate</t>
        </is>
      </c>
      <c r="L16" s="21" t="n"/>
      <c r="M16" s="21" t="n"/>
      <c r="N16" s="20" t="inlineStr">
        <is>
          <t>draft</t>
        </is>
      </c>
      <c r="O16" s="20" t="inlineStr">
        <is>
          <t>0.1</t>
        </is>
      </c>
      <c r="P16" s="20" t="n"/>
    </row>
    <row r="17" ht="23.85" customHeight="1" s="12">
      <c r="A17" s="20" t="inlineStr">
        <is>
          <t>GEN-016</t>
        </is>
      </c>
      <c r="B17" s="20" t="inlineStr">
        <is>
          <t>regeneration rate</t>
        </is>
      </c>
      <c r="C17" s="20" t="inlineStr">
        <is>
          <t>Rate at which regenerative activities rebuild biophysical stocks</t>
        </is>
      </c>
      <c r="D17" s="20" t="inlineStr">
        <is>
          <t>Biophysical Stocks (Environment)</t>
        </is>
      </c>
      <c r="E17" s="21" t="n"/>
      <c r="F17" s="21" t="inlineStr">
        <is>
          <t>material units/year</t>
        </is>
      </c>
      <c r="G17" s="20" t="inlineStr">
        <is>
          <t>Eco</t>
        </is>
      </c>
      <c r="H17" s="20" t="inlineStr">
        <is>
          <t>Flow</t>
        </is>
      </c>
      <c r="I17" s="20" t="inlineStr">
        <is>
          <t>Y</t>
        </is>
      </c>
      <c r="J17" s="20" t="n"/>
      <c r="K17" s="20" t="inlineStr">
        <is>
          <t>regeneration rate</t>
        </is>
      </c>
      <c r="L17" s="21" t="n"/>
      <c r="M17" s="21" t="n"/>
      <c r="N17" s="20" t="inlineStr">
        <is>
          <t>draft</t>
        </is>
      </c>
      <c r="O17" s="20" t="inlineStr">
        <is>
          <t>0.1</t>
        </is>
      </c>
      <c r="P17" s="20" t="n"/>
    </row>
    <row r="18" ht="23.85" customHeight="1" s="12">
      <c r="A18" s="20" t="inlineStr">
        <is>
          <t>GEN-017</t>
        </is>
      </c>
      <c r="B18" s="20" t="inlineStr">
        <is>
          <t>ecosystem service capacity</t>
        </is>
      </c>
      <c r="C18" s="20" t="inlineStr">
        <is>
          <t>Capacity of ecosystem services the business depends on</t>
        </is>
      </c>
      <c r="D18" s="20" t="inlineStr">
        <is>
          <t>Ecosystem Services (Environment)</t>
        </is>
      </c>
      <c r="E18" s="21" t="n"/>
      <c r="F18" s="21" t="inlineStr">
        <is>
          <t>service units</t>
        </is>
      </c>
      <c r="G18" s="20" t="inlineStr">
        <is>
          <t>Eco</t>
        </is>
      </c>
      <c r="H18" s="20" t="inlineStr">
        <is>
          <t>Auxiliary</t>
        </is>
      </c>
      <c r="I18" s="20" t="inlineStr">
        <is>
          <t>Y</t>
        </is>
      </c>
      <c r="J18" s="20" t="n"/>
      <c r="K18" s="20" t="inlineStr">
        <is>
          <t>ecosystem service capacity</t>
        </is>
      </c>
      <c r="L18" s="21" t="n"/>
      <c r="M18" s="21" t="n"/>
      <c r="N18" s="20" t="inlineStr">
        <is>
          <t>draft</t>
        </is>
      </c>
      <c r="O18" s="20" t="inlineStr">
        <is>
          <t>0.1</t>
        </is>
      </c>
      <c r="P18" s="20" t="n"/>
    </row>
    <row r="19" ht="23.85" customHeight="1" s="12">
      <c r="A19" s="20" t="inlineStr">
        <is>
          <t>GEN-018</t>
        </is>
      </c>
      <c r="B19" s="20" t="inlineStr">
        <is>
          <t>incurred tri-profit costs</t>
        </is>
      </c>
      <c r="C19" s="20" t="inlineStr">
        <is>
          <t>Negative outcomes incurred, measured per dimension (Econ/Soc/Eco)</t>
        </is>
      </c>
      <c r="D19" s="20" t="inlineStr">
        <is>
          <t>Costs (Outcomes)</t>
        </is>
      </c>
      <c r="E19" s="21" t="n"/>
      <c r="F19" s="21" t="inlineStr">
        <is>
          <t>EUR + soc/eco units</t>
        </is>
      </c>
      <c r="G19" s="20" t="inlineStr">
        <is>
          <t>Econ+Soc+Eco</t>
        </is>
      </c>
      <c r="H19" s="20" t="inlineStr">
        <is>
          <t>Auxiliary</t>
        </is>
      </c>
      <c r="I19" s="20" t="inlineStr">
        <is>
          <t>Y</t>
        </is>
      </c>
      <c r="J19" s="20" t="n"/>
      <c r="K19" s="20" t="inlineStr">
        <is>
          <t>incurred tri-profit costs</t>
        </is>
      </c>
      <c r="L19" s="21" t="n"/>
      <c r="M19" s="21" t="n"/>
      <c r="N19" s="20" t="inlineStr">
        <is>
          <t>draft</t>
        </is>
      </c>
      <c r="O19" s="20" t="inlineStr">
        <is>
          <t>0.1</t>
        </is>
      </c>
      <c r="P19" s="20" t="n"/>
    </row>
    <row r="20" ht="23.85" customHeight="1" s="12">
      <c r="A20" s="20" t="inlineStr">
        <is>
          <t>GEN-019</t>
        </is>
      </c>
      <c r="B20" s="20" t="inlineStr">
        <is>
          <t>realized tri-profit benefits</t>
        </is>
      </c>
      <c r="C20" s="20" t="inlineStr">
        <is>
          <t>Positive outcomes realized, measured per dimension (Econ/Soc/Eco)</t>
        </is>
      </c>
      <c r="D20" s="20" t="inlineStr">
        <is>
          <t>Benefits (Outcomes)</t>
        </is>
      </c>
      <c r="E20" s="21" t="n"/>
      <c r="F20" s="21" t="inlineStr">
        <is>
          <t>EUR + soc/eco units</t>
        </is>
      </c>
      <c r="G20" s="20" t="inlineStr">
        <is>
          <t>Econ+Soc+Eco</t>
        </is>
      </c>
      <c r="H20" s="20" t="inlineStr">
        <is>
          <t>Stock</t>
        </is>
      </c>
      <c r="I20" s="20" t="inlineStr">
        <is>
          <t>Y</t>
        </is>
      </c>
      <c r="J20" s="20" t="n"/>
      <c r="K20" s="20" t="inlineStr">
        <is>
          <t>realized tri-profit benefits</t>
        </is>
      </c>
      <c r="L20" s="21" t="n"/>
      <c r="M20" s="21" t="n"/>
      <c r="N20" s="20" t="inlineStr">
        <is>
          <t>draft</t>
        </is>
      </c>
      <c r="O20" s="20" t="inlineStr">
        <is>
          <t>0.1</t>
        </is>
      </c>
      <c r="P20" s="20" t="n"/>
    </row>
    <row r="21" ht="23.85" customHeight="1" s="12">
      <c r="A21" s="20" t="inlineStr">
        <is>
          <t>GEN-020</t>
        </is>
      </c>
      <c r="B21" s="20" t="inlineStr">
        <is>
          <t>goal attainment gap</t>
        </is>
      </c>
      <c r="C21" s="20" t="inlineStr">
        <is>
          <t>Gap between stakeholder-agreed targets and actual outcomes</t>
        </is>
      </c>
      <c r="D21" s="20" t="inlineStr">
        <is>
          <t>Goals (Outcomes)</t>
        </is>
      </c>
      <c r="E21" s="21" t="n"/>
      <c r="F21" s="21" t="inlineStr">
        <is>
          <t>dmnl (0-1)</t>
        </is>
      </c>
      <c r="G21" s="20" t="inlineStr">
        <is>
          <t>Econ+Soc+Eco</t>
        </is>
      </c>
      <c r="H21" s="20" t="inlineStr">
        <is>
          <t>Output</t>
        </is>
      </c>
      <c r="I21" s="20" t="inlineStr">
        <is>
          <t>Y</t>
        </is>
      </c>
      <c r="J21" s="20" t="n"/>
      <c r="K21" s="20" t="inlineStr">
        <is>
          <t>goal attainment gap</t>
        </is>
      </c>
      <c r="L21" s="21" t="n"/>
      <c r="M21" s="21" t="n"/>
      <c r="N21" s="20" t="inlineStr">
        <is>
          <t>draft</t>
        </is>
      </c>
      <c r="O21" s="20" t="inlineStr">
        <is>
          <t>0.1</t>
        </is>
      </c>
      <c r="P21" s="20" t="n"/>
    </row>
    <row r="22" ht="15" customHeight="1" s="12">
      <c r="A22" s="20" t="inlineStr">
        <is>
          <t>GEN-021</t>
        </is>
      </c>
      <c r="B22" s="20" t="inlineStr">
        <is>
          <t>societal legitimacy</t>
        </is>
      </c>
      <c r="C22" s="20" t="inlineStr">
        <is>
          <t>Legitimacy and licence to operate granted by society</t>
        </is>
      </c>
      <c r="D22" s="20" t="inlineStr">
        <is>
          <t>Context: Society</t>
        </is>
      </c>
      <c r="E22" s="21" t="n"/>
      <c r="F22" s="21" t="inlineStr">
        <is>
          <t>dmnl (0-1)</t>
        </is>
      </c>
      <c r="G22" s="20" t="inlineStr">
        <is>
          <t>Soc</t>
        </is>
      </c>
      <c r="H22" s="20" t="inlineStr">
        <is>
          <t>Auxiliary</t>
        </is>
      </c>
      <c r="I22" s="20" t="inlineStr">
        <is>
          <t>Y</t>
        </is>
      </c>
      <c r="J22" s="20" t="n"/>
      <c r="K22" s="20" t="inlineStr">
        <is>
          <t>societal legitimacy</t>
        </is>
      </c>
      <c r="L22" s="21" t="n"/>
      <c r="M22" s="21" t="n"/>
      <c r="N22" s="20" t="inlineStr">
        <is>
          <t>draft</t>
        </is>
      </c>
      <c r="O22" s="20" t="inlineStr">
        <is>
          <t>0.1</t>
        </is>
      </c>
      <c r="P22" s="20" t="n"/>
    </row>
    <row r="23">
      <c r="A23" s="11" t="inlineStr">
        <is>
          <t>PV-001</t>
        </is>
      </c>
      <c r="B23" s="11" t="inlineStr">
        <is>
          <t>remaining addressable household market</t>
        </is>
      </c>
      <c r="C23" s="11" t="inlineStr">
        <is>
          <t>Households, tenants and building owners in the target region who could lease a PV system but have not yet</t>
        </is>
      </c>
      <c r="D23" s="11" t="inlineStr">
        <is>
          <t>Actors (Who)</t>
        </is>
      </c>
      <c r="E23" s="11" t="inlineStr">
        <is>
          <t>EU households / building owners (potential lessees)</t>
        </is>
      </c>
      <c r="F23" s="11" t="inlineStr">
        <is>
          <t>households</t>
        </is>
      </c>
      <c r="G23" s="11" t="inlineStr">
        <is>
          <t>Econ+Soc</t>
        </is>
      </c>
      <c r="H23" s="11" t="inlineStr">
        <is>
          <t>Stock</t>
        </is>
      </c>
      <c r="I23" s="11" t="inlineStr">
        <is>
          <t>Y</t>
        </is>
      </c>
      <c r="K23" s="11" t="inlineStr">
        <is>
          <t>remaining addressable household market</t>
        </is>
      </c>
      <c r="L23" s="11" t="inlineStr">
        <is>
          <t>market potential</t>
        </is>
      </c>
      <c r="M23" s="11" t="inlineStr">
        <is>
          <t>remaining total addressable market</t>
        </is>
      </c>
      <c r="N23" s="11" t="inlineStr">
        <is>
          <t>draft</t>
        </is>
      </c>
      <c r="O23" s="11" t="inlineStr">
        <is>
          <t>0.2</t>
        </is>
      </c>
      <c r="P23" s="11" t="inlineStr">
        <is>
          <t>instantiates GEN-001; circular PV leasing model</t>
        </is>
      </c>
    </row>
    <row r="24">
      <c r="A24" s="11" t="inlineStr">
        <is>
          <t>PV-002</t>
        </is>
      </c>
      <c r="B24" s="11" t="inlineStr">
        <is>
          <t>customer satisfaction</t>
        </is>
      </c>
      <c r="C24" s="11" t="inlineStr">
        <is>
          <t>Degree to which lessees' needs for affordable, reliable clean energy are met</t>
        </is>
      </c>
      <c r="D24" s="11" t="inlineStr">
        <is>
          <t>Needs (Who)</t>
        </is>
      </c>
      <c r="E24" s="11" t="inlineStr">
        <is>
          <t>Lessees' need for affordable reliable clean energy</t>
        </is>
      </c>
      <c r="F24" s="11" t="inlineStr">
        <is>
          <t>dmnl (0-1)</t>
        </is>
      </c>
      <c r="G24" s="11" t="inlineStr">
        <is>
          <t>Soc</t>
        </is>
      </c>
      <c r="H24" s="11" t="inlineStr">
        <is>
          <t>Auxiliary</t>
        </is>
      </c>
      <c r="I24" s="11" t="inlineStr">
        <is>
          <t>Y</t>
        </is>
      </c>
      <c r="K24" s="11" t="inlineStr">
        <is>
          <t>customer satisfaction</t>
        </is>
      </c>
      <c r="L24" s="11" t="inlineStr">
        <is>
          <t>customer satisfaction</t>
        </is>
      </c>
      <c r="M24" s="11" t="inlineStr">
        <is>
          <t>customer satisfaction</t>
        </is>
      </c>
      <c r="N24" s="11" t="inlineStr">
        <is>
          <t>draft</t>
        </is>
      </c>
      <c r="O24" s="11" t="inlineStr">
        <is>
          <t>0.2</t>
        </is>
      </c>
      <c r="P24" s="11" t="inlineStr">
        <is>
          <t>instantiates GEN-002; circular PV leasing model</t>
        </is>
      </c>
    </row>
    <row r="25">
      <c r="A25" s="11" t="inlineStr">
        <is>
          <t>PV-003</t>
        </is>
      </c>
      <c r="B25" s="11" t="inlineStr">
        <is>
          <t>active lease customer base</t>
        </is>
      </c>
      <c r="C25" s="11" t="inlineStr">
        <is>
          <t>Number of households/organizations currently holding an active PV lease contract</t>
        </is>
      </c>
      <c r="D25" s="11" t="inlineStr">
        <is>
          <t>Stakeholders (Who)</t>
        </is>
      </c>
      <c r="E25" s="11" t="inlineStr">
        <is>
          <t>Lease customers (households, building owners)</t>
        </is>
      </c>
      <c r="F25" s="11" t="inlineStr">
        <is>
          <t>households</t>
        </is>
      </c>
      <c r="G25" s="11" t="inlineStr">
        <is>
          <t>Econ+Soc</t>
        </is>
      </c>
      <c r="H25" s="11" t="inlineStr">
        <is>
          <t>Stock</t>
        </is>
      </c>
      <c r="I25" s="11" t="inlineStr">
        <is>
          <t>Y</t>
        </is>
      </c>
      <c r="K25" s="11" t="inlineStr">
        <is>
          <t>active lease customer base</t>
        </is>
      </c>
      <c r="L25" s="11" t="inlineStr">
        <is>
          <t>active customer base</t>
        </is>
      </c>
      <c r="M25" s="11" t="inlineStr">
        <is>
          <t>leased PV-System customers</t>
        </is>
      </c>
      <c r="N25" s="11" t="inlineStr">
        <is>
          <t>draft</t>
        </is>
      </c>
      <c r="O25" s="11" t="inlineStr">
        <is>
          <t>0.2</t>
        </is>
      </c>
      <c r="P25" s="11" t="inlineStr">
        <is>
          <t>instantiates GEN-003; circular PV leasing model</t>
        </is>
      </c>
    </row>
    <row r="26">
      <c r="A26" s="11" t="inlineStr">
        <is>
          <t>PV-004</t>
        </is>
      </c>
      <c r="B26" s="11" t="inlineStr">
        <is>
          <t>customer trust</t>
        </is>
      </c>
      <c r="C26" s="11" t="inlineStr">
        <is>
          <t>Accumulated quality of the SustainaSun-lessee relationship</t>
        </is>
      </c>
      <c r="D26" s="11" t="inlineStr">
        <is>
          <t>Relationships (People)</t>
        </is>
      </c>
      <c r="E26" s="11" t="inlineStr">
        <is>
          <t>SustainaSun - lessee relationship</t>
        </is>
      </c>
      <c r="F26" s="11" t="inlineStr">
        <is>
          <t>dmnl (0-1)</t>
        </is>
      </c>
      <c r="G26" s="11" t="inlineStr">
        <is>
          <t>Soc</t>
        </is>
      </c>
      <c r="H26" s="11" t="inlineStr">
        <is>
          <t>Stock</t>
        </is>
      </c>
      <c r="I26" s="11" t="inlineStr">
        <is>
          <t>Y</t>
        </is>
      </c>
      <c r="K26" s="11" t="inlineStr">
        <is>
          <t>customer trust</t>
        </is>
      </c>
      <c r="L26" s="11" t="inlineStr">
        <is>
          <t>trust and reputation</t>
        </is>
      </c>
      <c r="M26" s="11" t="inlineStr">
        <is>
          <t>reputational gain and trust</t>
        </is>
      </c>
      <c r="N26" s="11" t="inlineStr">
        <is>
          <t>draft</t>
        </is>
      </c>
      <c r="O26" s="11" t="inlineStr">
        <is>
          <t>0.2</t>
        </is>
      </c>
      <c r="P26" s="11" t="inlineStr">
        <is>
          <t>instantiates GEN-004; circular PV leasing model</t>
        </is>
      </c>
    </row>
    <row r="27">
      <c r="A27" s="11" t="inlineStr">
        <is>
          <t>PV-005</t>
        </is>
      </c>
      <c r="B27" s="11" t="inlineStr">
        <is>
          <t>customer acquisition rate</t>
        </is>
      </c>
      <c r="C27" s="11" t="inlineStr">
        <is>
          <t>Rate at which new customers sign PV lease contracts via referrals, channels and campaigns</t>
        </is>
      </c>
      <c r="D27" s="11" t="inlineStr">
        <is>
          <t>Channels (People)</t>
        </is>
      </c>
      <c r="E27" s="11" t="inlineStr">
        <is>
          <t>Referral / sales channels</t>
        </is>
      </c>
      <c r="F27" s="11" t="inlineStr">
        <is>
          <t>households/year</t>
        </is>
      </c>
      <c r="G27" s="11" t="inlineStr">
        <is>
          <t>Econ+Soc</t>
        </is>
      </c>
      <c r="H27" s="11" t="inlineStr">
        <is>
          <t>Flow</t>
        </is>
      </c>
      <c r="I27" s="11" t="inlineStr">
        <is>
          <t>Y</t>
        </is>
      </c>
      <c r="K27" s="11" t="inlineStr">
        <is>
          <t>customer acquisition rate</t>
        </is>
      </c>
      <c r="L27" s="11" t="inlineStr">
        <is>
          <t>new customer acquisition</t>
        </is>
      </c>
      <c r="M27" s="11" t="inlineStr">
        <is>
          <t>leads and customer acquisition</t>
        </is>
      </c>
      <c r="N27" s="11" t="inlineStr">
        <is>
          <t>draft</t>
        </is>
      </c>
      <c r="O27" s="11" t="inlineStr">
        <is>
          <t>0.2</t>
        </is>
      </c>
      <c r="P27" s="11" t="inlineStr">
        <is>
          <t>instantiates GEN-005; circular PV leasing model</t>
        </is>
      </c>
    </row>
    <row r="28">
      <c r="A28" s="11" t="inlineStr">
        <is>
          <t>PV-006</t>
        </is>
      </c>
      <c r="B28" s="11" t="inlineStr">
        <is>
          <t>energy service delivery rate</t>
        </is>
      </c>
      <c r="C28" s="11" t="inlineStr">
        <is>
          <t>Rate at which clean-energy service value is delivered to lessees and community</t>
        </is>
      </c>
      <c r="D28" s="11" t="inlineStr">
        <is>
          <t>Value Co-Creations (Value)</t>
        </is>
      </c>
      <c r="E28" s="11" t="inlineStr">
        <is>
          <t>Leased clean-energy service</t>
        </is>
      </c>
      <c r="F28" s="11" t="inlineStr">
        <is>
          <t>MWh/year</t>
        </is>
      </c>
      <c r="G28" s="11" t="inlineStr">
        <is>
          <t>Econ+Soc+Eco</t>
        </is>
      </c>
      <c r="H28" s="11" t="inlineStr">
        <is>
          <t>Flow</t>
        </is>
      </c>
      <c r="I28" s="11" t="inlineStr">
        <is>
          <t>Y</t>
        </is>
      </c>
      <c r="K28" s="11" t="inlineStr">
        <is>
          <t>energy service delivery rate</t>
        </is>
      </c>
      <c r="L28" s="11" t="inlineStr"/>
      <c r="M28" s="11" t="inlineStr"/>
      <c r="N28" s="11" t="inlineStr">
        <is>
          <t>draft</t>
        </is>
      </c>
      <c r="O28" s="11" t="inlineStr">
        <is>
          <t>0.2</t>
        </is>
      </c>
      <c r="P28" s="11" t="inlineStr">
        <is>
          <t>instantiates GEN-006; circular PV leasing model</t>
        </is>
      </c>
    </row>
    <row r="29">
      <c r="A29" s="11" t="inlineStr">
        <is>
          <t>PV-007</t>
        </is>
      </c>
      <c r="B29" s="11" t="inlineStr">
        <is>
          <t>end-of-life waste generation rate</t>
        </is>
      </c>
      <c r="C29" s="11" t="inlineStr">
        <is>
          <t>Rate at which unmanaged PV end-of-life waste and related harms are generated</t>
        </is>
      </c>
      <c r="D29" s="11" t="inlineStr">
        <is>
          <t>Value Co-Destructions (Value)</t>
        </is>
      </c>
      <c r="E29" s="11" t="inlineStr">
        <is>
          <t>Unmanaged PV waste stream</t>
        </is>
      </c>
      <c r="F29" s="11" t="inlineStr">
        <is>
          <t>t/year</t>
        </is>
      </c>
      <c r="G29" s="11" t="inlineStr">
        <is>
          <t>Econ+Soc+Eco</t>
        </is>
      </c>
      <c r="H29" s="11" t="inlineStr">
        <is>
          <t>Flow</t>
        </is>
      </c>
      <c r="I29" s="11" t="inlineStr">
        <is>
          <t>Y</t>
        </is>
      </c>
      <c r="K29" s="11" t="inlineStr">
        <is>
          <t>end-of-life waste generation rate</t>
        </is>
      </c>
      <c r="L29" s="11" t="inlineStr">
        <is>
          <t>waste generation</t>
        </is>
      </c>
      <c r="M29" s="11" t="inlineStr">
        <is>
          <t>waste from non-circular PV materials</t>
        </is>
      </c>
      <c r="N29" s="11" t="inlineStr">
        <is>
          <t>draft</t>
        </is>
      </c>
      <c r="O29" s="11" t="inlineStr">
        <is>
          <t>0.2</t>
        </is>
      </c>
      <c r="P29" s="11" t="inlineStr">
        <is>
          <t>instantiates GEN-007; circular PV leasing model</t>
        </is>
      </c>
    </row>
    <row r="30">
      <c r="A30" s="11" t="inlineStr">
        <is>
          <t>PV-008</t>
        </is>
      </c>
      <c r="B30" s="11" t="inlineStr">
        <is>
          <t>service quality</t>
        </is>
      </c>
      <c r="C30" s="11" t="inlineStr">
        <is>
          <t>Quality and speed of installation, repair and upgrade services carrying the lease offer</t>
        </is>
      </c>
      <c r="D30" s="11" t="inlineStr">
        <is>
          <t>Products/Services (Value)</t>
        </is>
      </c>
      <c r="E30" s="11" t="inlineStr">
        <is>
          <t>PV leasing service (install, repair, upgrade)</t>
        </is>
      </c>
      <c r="F30" s="11" t="inlineStr">
        <is>
          <t>dmnl (0-1)</t>
        </is>
      </c>
      <c r="G30" s="11" t="inlineStr">
        <is>
          <t>Econ</t>
        </is>
      </c>
      <c r="H30" s="11" t="inlineStr">
        <is>
          <t>Auxiliary</t>
        </is>
      </c>
      <c r="I30" s="11" t="inlineStr">
        <is>
          <t>Y</t>
        </is>
      </c>
      <c r="K30" s="11" t="inlineStr">
        <is>
          <t>service quality</t>
        </is>
      </c>
      <c r="L30" s="11" t="inlineStr">
        <is>
          <t>service quality</t>
        </is>
      </c>
      <c r="M30" s="11" t="inlineStr">
        <is>
          <t>fast repair and good service</t>
        </is>
      </c>
      <c r="N30" s="11" t="inlineStr">
        <is>
          <t>draft</t>
        </is>
      </c>
      <c r="O30" s="11" t="inlineStr">
        <is>
          <t>0.2</t>
        </is>
      </c>
      <c r="P30" s="11" t="inlineStr">
        <is>
          <t>instantiates GEN-008; circular PV leasing model</t>
        </is>
      </c>
    </row>
    <row r="31">
      <c r="A31" s="11" t="inlineStr">
        <is>
          <t>PV-009</t>
        </is>
      </c>
      <c r="B31" s="11" t="inlineStr">
        <is>
          <t>lease operations throughput</t>
        </is>
      </c>
      <c r="C31" s="11" t="inlineStr">
        <is>
          <t>Installations, repairs and upgrades completed per unit time</t>
        </is>
      </c>
      <c r="D31" s="11" t="inlineStr">
        <is>
          <t>Activities (Process)</t>
        </is>
      </c>
      <c r="E31" s="11" t="inlineStr">
        <is>
          <t>Install / maintain / upgrade operations</t>
        </is>
      </c>
      <c r="F31" s="11" t="inlineStr">
        <is>
          <t>systems/year</t>
        </is>
      </c>
      <c r="G31" s="11" t="inlineStr">
        <is>
          <t>Econ</t>
        </is>
      </c>
      <c r="H31" s="11" t="inlineStr">
        <is>
          <t>Flow</t>
        </is>
      </c>
      <c r="I31" s="11" t="inlineStr">
        <is>
          <t>Y</t>
        </is>
      </c>
      <c r="K31" s="11" t="inlineStr">
        <is>
          <t>lease operations throughput</t>
        </is>
      </c>
      <c r="L31" s="11" t="inlineStr">
        <is>
          <t>installation growth; service completion</t>
        </is>
      </c>
      <c r="M31" s="11" t="inlineStr">
        <is>
          <t>new PV system leases installed per year; completed mounting, repair and upgrade services</t>
        </is>
      </c>
      <c r="N31" s="11" t="inlineStr">
        <is>
          <t>draft</t>
        </is>
      </c>
      <c r="O31" s="11" t="inlineStr">
        <is>
          <t>0.2</t>
        </is>
      </c>
      <c r="P31" s="11" t="inlineStr">
        <is>
          <t>instantiates GEN-009; circular PV leasing model</t>
        </is>
      </c>
    </row>
    <row r="32">
      <c r="A32" s="11" t="inlineStr">
        <is>
          <t>PV-010</t>
        </is>
      </c>
      <c r="B32" s="11" t="inlineStr">
        <is>
          <t>operational resource base</t>
        </is>
      </c>
      <c r="C32" s="11" t="inlineStr">
        <is>
          <t>Accumulated capital, crews, equipment and reserves available to lease operations</t>
        </is>
      </c>
      <c r="D32" s="11" t="inlineStr">
        <is>
          <t>Resources (Process)</t>
        </is>
      </c>
      <c r="E32" s="11" t="inlineStr">
        <is>
          <t>Capital + crews + equipment</t>
        </is>
      </c>
      <c r="F32" s="11" t="inlineStr">
        <is>
          <t>resource units</t>
        </is>
      </c>
      <c r="G32" s="11" t="inlineStr">
        <is>
          <t>Econ</t>
        </is>
      </c>
      <c r="H32" s="11" t="inlineStr">
        <is>
          <t>Stock</t>
        </is>
      </c>
      <c r="I32" s="11" t="inlineStr">
        <is>
          <t>Y</t>
        </is>
      </c>
      <c r="K32" s="11" t="inlineStr">
        <is>
          <t>operational resource base</t>
        </is>
      </c>
      <c r="L32" s="11" t="inlineStr">
        <is>
          <t>financial reserves</t>
        </is>
      </c>
      <c r="M32" s="11" t="inlineStr"/>
      <c r="N32" s="11" t="inlineStr">
        <is>
          <t>draft</t>
        </is>
      </c>
      <c r="O32" s="11" t="inlineStr">
        <is>
          <t>0.2</t>
        </is>
      </c>
      <c r="P32" s="11" t="inlineStr">
        <is>
          <t>instantiates GEN-010; circular PV leasing model</t>
        </is>
      </c>
    </row>
    <row r="33">
      <c r="A33" s="11" t="inlineStr">
        <is>
          <t>PV-011</t>
        </is>
      </c>
      <c r="B33" s="11" t="inlineStr">
        <is>
          <t>operations capacity</t>
        </is>
      </c>
      <c r="C33" s="11" t="inlineStr">
        <is>
          <t>Maximum installations/repairs per year the current resource base supports</t>
        </is>
      </c>
      <c r="D33" s="11" t="inlineStr">
        <is>
          <t>Resources (Process)</t>
        </is>
      </c>
      <c r="E33" s="11" t="inlineStr">
        <is>
          <t>Installation &amp; maintenance capacity</t>
        </is>
      </c>
      <c r="F33" s="11" t="inlineStr">
        <is>
          <t>systems/year</t>
        </is>
      </c>
      <c r="G33" s="11" t="inlineStr">
        <is>
          <t>Econ</t>
        </is>
      </c>
      <c r="H33" s="11" t="inlineStr">
        <is>
          <t>Auxiliary</t>
        </is>
      </c>
      <c r="I33" s="11" t="inlineStr">
        <is>
          <t>Y</t>
        </is>
      </c>
      <c r="K33" s="11" t="inlineStr">
        <is>
          <t>operations capacity</t>
        </is>
      </c>
      <c r="L33" s="11" t="inlineStr">
        <is>
          <t>installation capacity; service capacity</t>
        </is>
      </c>
      <c r="M33" s="11" t="inlineStr">
        <is>
          <t>planning and mounting capacity</t>
        </is>
      </c>
      <c r="N33" s="11" t="inlineStr">
        <is>
          <t>draft</t>
        </is>
      </c>
      <c r="O33" s="11" t="inlineStr">
        <is>
          <t>0.2</t>
        </is>
      </c>
      <c r="P33" s="11" t="inlineStr">
        <is>
          <t>instantiates GEN-011; circular PV leasing model</t>
        </is>
      </c>
    </row>
    <row r="34">
      <c r="A34" s="11" t="inlineStr">
        <is>
          <t>PV-012</t>
        </is>
      </c>
      <c r="B34" s="11" t="inlineStr">
        <is>
          <t>financier confidence</t>
        </is>
      </c>
      <c r="C34" s="11" t="inlineStr">
        <is>
          <t>Confidence of financing partners in the leasing model's returns</t>
        </is>
      </c>
      <c r="D34" s="11" t="inlineStr">
        <is>
          <t>Partnerships (Process)</t>
        </is>
      </c>
      <c r="E34" s="11" t="inlineStr">
        <is>
          <t>Financiers / green lenders partnership</t>
        </is>
      </c>
      <c r="F34" s="11" t="inlineStr">
        <is>
          <t>dmnl (0-1)</t>
        </is>
      </c>
      <c r="G34" s="11" t="inlineStr">
        <is>
          <t>Econ+Soc</t>
        </is>
      </c>
      <c r="H34" s="11" t="inlineStr">
        <is>
          <t>Auxiliary</t>
        </is>
      </c>
      <c r="I34" s="11" t="inlineStr">
        <is>
          <t>Y</t>
        </is>
      </c>
      <c r="K34" s="11" t="inlineStr">
        <is>
          <t>financier confidence</t>
        </is>
      </c>
      <c r="L34" s="11" t="inlineStr">
        <is>
          <t>investor confidence</t>
        </is>
      </c>
      <c r="M34" s="11" t="inlineStr">
        <is>
          <t>financier confidence and ROI confidence</t>
        </is>
      </c>
      <c r="N34" s="11" t="inlineStr">
        <is>
          <t>draft</t>
        </is>
      </c>
      <c r="O34" s="11" t="inlineStr">
        <is>
          <t>0.2</t>
        </is>
      </c>
      <c r="P34" s="11" t="inlineStr">
        <is>
          <t>instantiates GEN-012; circular PV leasing model</t>
        </is>
      </c>
    </row>
    <row r="35">
      <c r="A35" s="11" t="inlineStr">
        <is>
          <t>PV-013</t>
        </is>
      </c>
      <c r="B35" s="11" t="inlineStr">
        <is>
          <t>corrective management response</t>
        </is>
      </c>
      <c r="C35" s="11" t="inlineStr">
        <is>
          <t>Intensity of corrective decisions on lease pricing and capacity allocation</t>
        </is>
      </c>
      <c r="D35" s="11" t="inlineStr">
        <is>
          <t>Governance (Process)</t>
        </is>
      </c>
      <c r="E35" s="11" t="inlineStr">
        <is>
          <t>SustainaSun governance (pricing, capacity allocation)</t>
        </is>
      </c>
      <c r="F35" s="11" t="inlineStr">
        <is>
          <t>dmnl (0-1)</t>
        </is>
      </c>
      <c r="G35" s="11" t="inlineStr">
        <is>
          <t>Econ+Soc+Eco</t>
        </is>
      </c>
      <c r="H35" s="11" t="inlineStr">
        <is>
          <t>Auxiliary</t>
        </is>
      </c>
      <c r="I35" s="11" t="inlineStr">
        <is>
          <t>Y</t>
        </is>
      </c>
      <c r="K35" s="11" t="inlineStr">
        <is>
          <t>corrective management response</t>
        </is>
      </c>
      <c r="L35" s="11" t="inlineStr"/>
      <c r="M35" s="11" t="inlineStr"/>
      <c r="N35" s="11" t="inlineStr">
        <is>
          <t>draft</t>
        </is>
      </c>
      <c r="O35" s="11" t="inlineStr">
        <is>
          <t>0.2</t>
        </is>
      </c>
      <c r="P35" s="11" t="inlineStr">
        <is>
          <t>instantiates GEN-013; circular PV leasing model</t>
        </is>
      </c>
    </row>
    <row r="36">
      <c r="A36" s="11" t="inlineStr">
        <is>
          <t>PV-014</t>
        </is>
      </c>
      <c r="B36" s="11" t="inlineStr">
        <is>
          <t>circular material bank</t>
        </is>
      </c>
      <c r="C36" s="11" t="inlineStr">
        <is>
          <t>Stock of recoverable PV materials (modules, components) under SustainaSun stewardship</t>
        </is>
      </c>
      <c r="D36" s="11" t="inlineStr">
        <is>
          <t>Biophysical Stocks (Environment)</t>
        </is>
      </c>
      <c r="E36" s="11" t="inlineStr">
        <is>
          <t>PV material stock (Si, glass, Al, Ag, components)</t>
        </is>
      </c>
      <c r="F36" s="11" t="inlineStr">
        <is>
          <t>t</t>
        </is>
      </c>
      <c r="G36" s="11" t="inlineStr">
        <is>
          <t>Eco</t>
        </is>
      </c>
      <c r="H36" s="11" t="inlineStr">
        <is>
          <t>Stock</t>
        </is>
      </c>
      <c r="I36" s="11" t="inlineStr">
        <is>
          <t>Y</t>
        </is>
      </c>
      <c r="K36" s="11" t="inlineStr">
        <is>
          <t>circular material bank</t>
        </is>
      </c>
      <c r="L36" s="11" t="inlineStr">
        <is>
          <t>recovered component stock</t>
        </is>
      </c>
      <c r="M36" s="11" t="inlineStr">
        <is>
          <t>material resource bank</t>
        </is>
      </c>
      <c r="N36" s="11" t="inlineStr">
        <is>
          <t>draft</t>
        </is>
      </c>
      <c r="O36" s="11" t="inlineStr">
        <is>
          <t>0.2</t>
        </is>
      </c>
      <c r="P36" s="11" t="inlineStr">
        <is>
          <t>instantiates GEN-014; circular PV leasing model</t>
        </is>
      </c>
    </row>
    <row r="37">
      <c r="A37" s="11" t="inlineStr">
        <is>
          <t>PV-015</t>
        </is>
      </c>
      <c r="B37" s="11" t="inlineStr">
        <is>
          <t>virgin material consumption rate</t>
        </is>
      </c>
      <c r="C37" s="11" t="inlineStr">
        <is>
          <t>Rate at which new PV deployments draw virgin materials and impose supply-chain impacts</t>
        </is>
      </c>
      <c r="D37" s="11" t="inlineStr">
        <is>
          <t>Biophysical Stocks (Environment)</t>
        </is>
      </c>
      <c r="E37" s="11" t="inlineStr">
        <is>
          <t>Virgin material draw of new PV systems</t>
        </is>
      </c>
      <c r="F37" s="11" t="inlineStr">
        <is>
          <t>t/year</t>
        </is>
      </c>
      <c r="G37" s="11" t="inlineStr">
        <is>
          <t>Eco</t>
        </is>
      </c>
      <c r="H37" s="11" t="inlineStr">
        <is>
          <t>Flow</t>
        </is>
      </c>
      <c r="I37" s="11" t="inlineStr">
        <is>
          <t>Y</t>
        </is>
      </c>
      <c r="K37" s="11" t="inlineStr">
        <is>
          <t>virgin material consumption rate</t>
        </is>
      </c>
      <c r="L37" s="11" t="inlineStr"/>
      <c r="M37" s="11" t="inlineStr"/>
      <c r="N37" s="11" t="inlineStr">
        <is>
          <t>draft</t>
        </is>
      </c>
      <c r="O37" s="11" t="inlineStr">
        <is>
          <t>0.2</t>
        </is>
      </c>
      <c r="P37" s="11" t="inlineStr">
        <is>
          <t>instantiates GEN-015; circular PV leasing model</t>
        </is>
      </c>
    </row>
    <row r="38">
      <c r="A38" s="11" t="inlineStr">
        <is>
          <t>PV-016</t>
        </is>
      </c>
      <c r="B38" s="11" t="inlineStr">
        <is>
          <t>material recovery rate</t>
        </is>
      </c>
      <c r="C38" s="11" t="inlineStr">
        <is>
          <t>Rate at which end-of-lease take-back and reverse logistics return materials to the bank</t>
        </is>
      </c>
      <c r="D38" s="11" t="inlineStr">
        <is>
          <t>Biophysical Stocks (Environment)</t>
        </is>
      </c>
      <c r="E38" s="11" t="inlineStr">
        <is>
          <t>Take-back &amp; recycling operations</t>
        </is>
      </c>
      <c r="F38" s="11" t="inlineStr">
        <is>
          <t>t/year</t>
        </is>
      </c>
      <c r="G38" s="11" t="inlineStr">
        <is>
          <t>Eco</t>
        </is>
      </c>
      <c r="H38" s="11" t="inlineStr">
        <is>
          <t>Flow</t>
        </is>
      </c>
      <c r="I38" s="11" t="inlineStr">
        <is>
          <t>Y</t>
        </is>
      </c>
      <c r="K38" s="11" t="inlineStr">
        <is>
          <t>material recovery rate</t>
        </is>
      </c>
      <c r="L38" s="11" t="inlineStr">
        <is>
          <t>component recovery</t>
        </is>
      </c>
      <c r="M38" s="11" t="inlineStr">
        <is>
          <t>recovered materials through reverse logistics</t>
        </is>
      </c>
      <c r="N38" s="11" t="inlineStr">
        <is>
          <t>draft</t>
        </is>
      </c>
      <c r="O38" s="11" t="inlineStr">
        <is>
          <t>0.2</t>
        </is>
      </c>
      <c r="P38" s="11" t="inlineStr">
        <is>
          <t>instantiates GEN-016; circular PV leasing model</t>
        </is>
      </c>
    </row>
    <row r="39">
      <c r="A39" s="11" t="inlineStr">
        <is>
          <t>PV-017</t>
        </is>
      </c>
      <c r="B39" s="11" t="inlineStr">
        <is>
          <t>reverse logistics capability</t>
        </is>
      </c>
      <c r="C39" s="11" t="inlineStr">
        <is>
          <t>Capability of the take-back/recycling network the circular model depends on</t>
        </is>
      </c>
      <c r="D39" s="11" t="inlineStr">
        <is>
          <t>Ecosystem Services (Environment)</t>
        </is>
      </c>
      <c r="E39" s="11" t="inlineStr">
        <is>
          <t>Reverse logistics / recycler network</t>
        </is>
      </c>
      <c r="F39" s="11" t="inlineStr">
        <is>
          <t>service units</t>
        </is>
      </c>
      <c r="G39" s="11" t="inlineStr">
        <is>
          <t>Eco</t>
        </is>
      </c>
      <c r="H39" s="11" t="inlineStr">
        <is>
          <t>Auxiliary</t>
        </is>
      </c>
      <c r="I39" s="11" t="inlineStr">
        <is>
          <t>Y</t>
        </is>
      </c>
      <c r="K39" s="11" t="inlineStr">
        <is>
          <t>reverse logistics capability</t>
        </is>
      </c>
      <c r="L39" s="11" t="inlineStr">
        <is>
          <t>reverse logistics capability</t>
        </is>
      </c>
      <c r="M39" s="11" t="inlineStr">
        <is>
          <t>reverse logistics capability for material take-back</t>
        </is>
      </c>
      <c r="N39" s="11" t="inlineStr">
        <is>
          <t>draft</t>
        </is>
      </c>
      <c r="O39" s="11" t="inlineStr">
        <is>
          <t>0.2</t>
        </is>
      </c>
      <c r="P39" s="11" t="inlineStr">
        <is>
          <t>instantiates GEN-017; circular PV leasing model; G5 note: structural analog of ecosystem-service capacity in the leasing model; review anchoring</t>
        </is>
      </c>
    </row>
    <row r="40">
      <c r="A40" s="11" t="inlineStr">
        <is>
          <t>PV-018</t>
        </is>
      </c>
      <c r="B40" s="11" t="inlineStr">
        <is>
          <t>incurred lifecycle costs</t>
        </is>
      </c>
      <c r="C40" s="11" t="inlineStr">
        <is>
          <t>Negative outcomes incurred per dimension: operating/maintenance cost, waste externalities</t>
        </is>
      </c>
      <c r="D40" s="11" t="inlineStr">
        <is>
          <t>Costs (Outcomes)</t>
        </is>
      </c>
      <c r="E40" s="11" t="inlineStr">
        <is>
          <t>Cost structure (O&amp;M, financing, EOL)</t>
        </is>
      </c>
      <c r="F40" s="11" t="inlineStr">
        <is>
          <t>EUR + soc/eco units</t>
        </is>
      </c>
      <c r="G40" s="11" t="inlineStr">
        <is>
          <t>Econ+Soc+Eco</t>
        </is>
      </c>
      <c r="H40" s="11" t="inlineStr">
        <is>
          <t>Auxiliary</t>
        </is>
      </c>
      <c r="I40" s="11" t="inlineStr">
        <is>
          <t>Y</t>
        </is>
      </c>
      <c r="K40" s="11" t="inlineStr">
        <is>
          <t>incurred lifecycle costs</t>
        </is>
      </c>
      <c r="L40" s="11" t="inlineStr">
        <is>
          <t>maintenance cost pressure; operating cash pressure</t>
        </is>
      </c>
      <c r="M40" s="11" t="inlineStr">
        <is>
          <t>operating cost pressure; repair and service cost pressure</t>
        </is>
      </c>
      <c r="N40" s="11" t="inlineStr">
        <is>
          <t>draft</t>
        </is>
      </c>
      <c r="O40" s="11" t="inlineStr">
        <is>
          <t>0.2</t>
        </is>
      </c>
      <c r="P40" s="11" t="inlineStr">
        <is>
          <t>instantiates GEN-018; circular PV leasing model</t>
        </is>
      </c>
    </row>
    <row r="41">
      <c r="A41" s="11" t="inlineStr">
        <is>
          <t>PV-019</t>
        </is>
      </c>
      <c r="B41" s="11" t="inlineStr">
        <is>
          <t>realized tri-profit benefits</t>
        </is>
      </c>
      <c r="C41" s="11" t="inlineStr">
        <is>
          <t>Positive outcomes realized per dimension: lease margin, energy access, avoided emissions</t>
        </is>
      </c>
      <c r="D41" s="11" t="inlineStr">
        <is>
          <t>Benefits (Outcomes)</t>
        </is>
      </c>
      <c r="E41" s="11" t="inlineStr">
        <is>
          <t>Benefit streams (lease margin, energy access, avoided CO2)</t>
        </is>
      </c>
      <c r="F41" s="11" t="inlineStr">
        <is>
          <t>EUR + soc/eco units</t>
        </is>
      </c>
      <c r="G41" s="11" t="inlineStr">
        <is>
          <t>Econ+Soc+Eco</t>
        </is>
      </c>
      <c r="H41" s="11" t="inlineStr">
        <is>
          <t>Stock</t>
        </is>
      </c>
      <c r="I41" s="11" t="inlineStr">
        <is>
          <t>Y</t>
        </is>
      </c>
      <c r="K41" s="11" t="inlineStr">
        <is>
          <t>realized tri-profit benefits</t>
        </is>
      </c>
      <c r="L41" s="11" t="inlineStr">
        <is>
          <t>cumulative environmental benefit</t>
        </is>
      </c>
      <c r="M41" s="11" t="inlineStr">
        <is>
          <t>financial predictability and net financial benefit</t>
        </is>
      </c>
      <c r="N41" s="11" t="inlineStr">
        <is>
          <t>draft</t>
        </is>
      </c>
      <c r="O41" s="11" t="inlineStr">
        <is>
          <t>0.2</t>
        </is>
      </c>
      <c r="P41" s="11" t="inlineStr">
        <is>
          <t>instantiates GEN-019; circular PV leasing model</t>
        </is>
      </c>
    </row>
    <row r="42">
      <c r="A42" s="11" t="inlineStr">
        <is>
          <t>PV-020</t>
        </is>
      </c>
      <c r="B42" s="11" t="inlineStr">
        <is>
          <t>viability goal gap</t>
        </is>
      </c>
      <c r="C42" s="11" t="inlineStr">
        <is>
          <t>Gap between agreed viability targets (affordability, IRR, circularity) and actual outcomes</t>
        </is>
      </c>
      <c r="D42" s="11" t="inlineStr">
        <is>
          <t>Goals (Outcomes)</t>
        </is>
      </c>
      <c r="E42" s="11" t="inlineStr">
        <is>
          <t>SustainaSun goals (affordability, IRR &gt;= 8%, &gt;=95% recovery)</t>
        </is>
      </c>
      <c r="F42" s="11" t="inlineStr">
        <is>
          <t>dmnl (0-1)</t>
        </is>
      </c>
      <c r="G42" s="11" t="inlineStr">
        <is>
          <t>Econ+Soc+Eco</t>
        </is>
      </c>
      <c r="H42" s="11" t="inlineStr">
        <is>
          <t>Output</t>
        </is>
      </c>
      <c r="I42" s="11" t="inlineStr">
        <is>
          <t>Y</t>
        </is>
      </c>
      <c r="K42" s="11" t="inlineStr">
        <is>
          <t>viability goal gap</t>
        </is>
      </c>
      <c r="L42" s="11" t="inlineStr"/>
      <c r="M42" s="11" t="inlineStr"/>
      <c r="N42" s="11" t="inlineStr">
        <is>
          <t>draft</t>
        </is>
      </c>
      <c r="O42" s="11" t="inlineStr">
        <is>
          <t>0.2</t>
        </is>
      </c>
      <c r="P42" s="11" t="inlineStr">
        <is>
          <t>instantiates GEN-020; circular PV leasing model</t>
        </is>
      </c>
    </row>
    <row r="43">
      <c r="A43" s="11" t="inlineStr">
        <is>
          <t>PV-021</t>
        </is>
      </c>
      <c r="B43" s="11" t="inlineStr">
        <is>
          <t>environmental reputation</t>
        </is>
      </c>
      <c r="C43" s="11" t="inlineStr">
        <is>
          <t>Legitimacy and licence to operate granted by society for circular performance</t>
        </is>
      </c>
      <c r="D43" s="11" t="inlineStr">
        <is>
          <t>Context: Society</t>
        </is>
      </c>
      <c r="E43" s="11" t="inlineStr">
        <is>
          <t>Public/regulator perception of SustainaSun</t>
        </is>
      </c>
      <c r="F43" s="11" t="inlineStr">
        <is>
          <t>dmnl (0-1)</t>
        </is>
      </c>
      <c r="G43" s="11" t="inlineStr">
        <is>
          <t>Soc</t>
        </is>
      </c>
      <c r="H43" s="11" t="inlineStr">
        <is>
          <t>Auxiliary</t>
        </is>
      </c>
      <c r="I43" s="11" t="inlineStr">
        <is>
          <t>Y</t>
        </is>
      </c>
      <c r="K43" s="11" t="inlineStr">
        <is>
          <t>environmental reputation</t>
        </is>
      </c>
      <c r="L43" s="11" t="inlineStr">
        <is>
          <t>environmental reputation</t>
        </is>
      </c>
      <c r="M43" s="11" t="inlineStr">
        <is>
          <t>circular economy and environmental reputation</t>
        </is>
      </c>
      <c r="N43" s="11" t="inlineStr">
        <is>
          <t>draft</t>
        </is>
      </c>
      <c r="O43" s="11" t="inlineStr">
        <is>
          <t>0.2</t>
        </is>
      </c>
      <c r="P43" s="11" t="inlineStr">
        <is>
          <t>instantiates GEN-021; circular PV leasing model</t>
        </is>
      </c>
    </row>
  </sheetData>
  <dataValidations count="5">
    <dataValidation sqref="D2:D200" showDropDown="0" showInputMessage="0" showErrorMessage="0" allowBlank="1" type="list" errorStyle="stop" operator="between">
      <formula1>Lists!$A$2:$A$21</formula1>
      <formula2>0</formula2>
    </dataValidation>
    <dataValidation sqref="G2:G200" showDropDown="0" showInputMessage="0" showErrorMessage="0" allowBlank="1" type="list" errorStyle="stop" operator="between">
      <formula1>Lists!$B$2:$B$8</formula1>
      <formula2>0</formula2>
    </dataValidation>
    <dataValidation sqref="H2:H200" showDropDown="0" showInputMessage="0" showErrorMessage="0" allowBlank="1" type="list" errorStyle="stop" operator="between">
      <formula1>Lists!$C$2:$C$6</formula1>
      <formula2>0</formula2>
    </dataValidation>
    <dataValidation sqref="I2:I200" showDropDown="0" showInputMessage="0" showErrorMessage="0" allowBlank="1" type="list" errorStyle="stop" operator="between">
      <formula1>Lists!$D$2:$D$3</formula1>
      <formula2>0</formula2>
    </dataValidation>
    <dataValidation sqref="N2:N2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10" customWidth="1" style="11" min="2" max="3"/>
    <col width="30" customWidth="1" style="11" min="4" max="5"/>
    <col width="9" customWidth="1" style="11" min="6" max="6"/>
    <col width="8" customWidth="1" style="11" min="7" max="7"/>
    <col width="52" customWidth="1" style="11" min="8" max="8"/>
    <col width="10" customWidth="1" style="11" min="9" max="9"/>
  </cols>
  <sheetData>
    <row r="1" ht="15" customHeight="1" s="12">
      <c r="A1" s="19" t="inlineStr">
        <is>
          <t>LinkID</t>
        </is>
      </c>
      <c r="B1" s="19" t="inlineStr">
        <is>
          <t>FromID</t>
        </is>
      </c>
      <c r="C1" s="19" t="inlineStr">
        <is>
          <t>ToID</t>
        </is>
      </c>
      <c r="D1" s="19" t="inlineStr">
        <is>
          <t>FromName (auto)</t>
        </is>
      </c>
      <c r="E1" s="19" t="inlineStr">
        <is>
          <t>ToName (auto)</t>
        </is>
      </c>
      <c r="F1" s="19" t="inlineStr">
        <is>
          <t>Polarity</t>
        </is>
      </c>
      <c r="G1" s="19" t="inlineStr">
        <is>
          <t>Delay</t>
        </is>
      </c>
      <c r="H1" s="19" t="inlineStr">
        <is>
          <t>Rationale</t>
        </is>
      </c>
      <c r="I1" s="19" t="inlineStr">
        <is>
          <t>Status</t>
        </is>
      </c>
    </row>
    <row r="2" ht="15" customHeight="1" s="12">
      <c r="A2" s="20" t="inlineStr">
        <is>
          <t>L01</t>
        </is>
      </c>
      <c r="B2" s="20" t="inlineStr">
        <is>
          <t>GEN-005</t>
        </is>
      </c>
      <c r="C2" s="20" t="inlineStr">
        <is>
          <t>GEN-003</t>
        </is>
      </c>
      <c r="D2" s="20">
        <f>IFERROR(VLOOKUP(B2,Concepts!$A:$B,2,FALSE()),"")</f>
        <v/>
      </c>
      <c r="E2" s="20">
        <f>IFERROR(VLOOKUP(C2,Concepts!$A:$B,2,FALSE()),"")</f>
        <v/>
      </c>
      <c r="F2" s="20" t="inlineStr">
        <is>
          <t>+</t>
        </is>
      </c>
      <c r="G2" s="20" t="inlineStr">
        <is>
          <t>N</t>
        </is>
      </c>
      <c r="H2" s="20" t="inlineStr">
        <is>
          <t>More engagement grows the stakeholder base</t>
        </is>
      </c>
      <c r="I2" s="20" t="inlineStr">
        <is>
          <t>draft</t>
        </is>
      </c>
    </row>
    <row r="3" ht="15" customHeight="1" s="12">
      <c r="A3" s="20" t="inlineStr">
        <is>
          <t>L02</t>
        </is>
      </c>
      <c r="B3" s="20" t="inlineStr">
        <is>
          <t>GEN-003</t>
        </is>
      </c>
      <c r="C3" s="20" t="inlineStr">
        <is>
          <t>GEN-001</t>
        </is>
      </c>
      <c r="D3" s="20">
        <f>IFERROR(VLOOKUP(B3,Concepts!$A:$B,2,FALSE()),"")</f>
        <v/>
      </c>
      <c r="E3" s="20">
        <f>IFERROR(VLOOKUP(C3,Concepts!$A:$B,2,FALSE()),"")</f>
        <v/>
      </c>
      <c r="F3" s="20" t="inlineStr">
        <is>
          <t>-</t>
        </is>
      </c>
      <c r="G3" s="20" t="inlineStr">
        <is>
          <t>N</t>
        </is>
      </c>
      <c r="H3" s="20" t="inlineStr">
        <is>
          <t>Engaged actors leave the addressable pool</t>
        </is>
      </c>
      <c r="I3" s="20" t="inlineStr">
        <is>
          <t>draft</t>
        </is>
      </c>
    </row>
    <row r="4" ht="15" customHeight="1" s="12">
      <c r="A4" s="20" t="inlineStr">
        <is>
          <t>L03</t>
        </is>
      </c>
      <c r="B4" s="20" t="inlineStr">
        <is>
          <t>GEN-001</t>
        </is>
      </c>
      <c r="C4" s="20" t="inlineStr">
        <is>
          <t>GEN-005</t>
        </is>
      </c>
      <c r="D4" s="20">
        <f>IFERROR(VLOOKUP(B4,Concepts!$A:$B,2,FALSE()),"")</f>
        <v/>
      </c>
      <c r="E4" s="20">
        <f>IFERROR(VLOOKUP(C4,Concepts!$A:$B,2,FALSE()),"")</f>
        <v/>
      </c>
      <c r="F4" s="20" t="inlineStr">
        <is>
          <t>+</t>
        </is>
      </c>
      <c r="G4" s="20" t="inlineStr">
        <is>
          <t>N</t>
        </is>
      </c>
      <c r="H4" s="20" t="inlineStr">
        <is>
          <t>A larger pool enables more engagement</t>
        </is>
      </c>
      <c r="I4" s="20" t="inlineStr">
        <is>
          <t>draft</t>
        </is>
      </c>
    </row>
    <row r="5" ht="15" customHeight="1" s="12">
      <c r="A5" s="20" t="inlineStr">
        <is>
          <t>L04</t>
        </is>
      </c>
      <c r="B5" s="20" t="inlineStr">
        <is>
          <t>GEN-004</t>
        </is>
      </c>
      <c r="C5" s="20" t="inlineStr">
        <is>
          <t>GEN-005</t>
        </is>
      </c>
      <c r="D5" s="20">
        <f>IFERROR(VLOOKUP(B5,Concepts!$A:$B,2,FALSE()),"")</f>
        <v/>
      </c>
      <c r="E5" s="20">
        <f>IFERROR(VLOOKUP(C5,Concepts!$A:$B,2,FALSE()),"")</f>
        <v/>
      </c>
      <c r="F5" s="20" t="inlineStr">
        <is>
          <t>+</t>
        </is>
      </c>
      <c r="G5" s="20" t="inlineStr">
        <is>
          <t>N</t>
        </is>
      </c>
      <c r="H5" s="20" t="inlineStr">
        <is>
          <t>Stronger relationships attract engagement</t>
        </is>
      </c>
      <c r="I5" s="20" t="inlineStr">
        <is>
          <t>draft</t>
        </is>
      </c>
    </row>
    <row r="6" ht="15" customHeight="1" s="12">
      <c r="A6" s="20" t="inlineStr">
        <is>
          <t>L05</t>
        </is>
      </c>
      <c r="B6" s="20" t="inlineStr">
        <is>
          <t>GEN-002</t>
        </is>
      </c>
      <c r="C6" s="20" t="inlineStr">
        <is>
          <t>GEN-004</t>
        </is>
      </c>
      <c r="D6" s="20">
        <f>IFERROR(VLOOKUP(B6,Concepts!$A:$B,2,FALSE()),"")</f>
        <v/>
      </c>
      <c r="E6" s="20">
        <f>IFERROR(VLOOKUP(C6,Concepts!$A:$B,2,FALSE()),"")</f>
        <v/>
      </c>
      <c r="F6" s="20" t="inlineStr">
        <is>
          <t>+</t>
        </is>
      </c>
      <c r="G6" s="20" t="inlineStr">
        <is>
          <t>Y</t>
        </is>
      </c>
      <c r="H6" s="20" t="inlineStr">
        <is>
          <t>Satisfied needs build trust over time</t>
        </is>
      </c>
      <c r="I6" s="20" t="inlineStr">
        <is>
          <t>draft</t>
        </is>
      </c>
    </row>
    <row r="7" ht="15" customHeight="1" s="12">
      <c r="A7" s="20" t="inlineStr">
        <is>
          <t>L06</t>
        </is>
      </c>
      <c r="B7" s="20" t="inlineStr">
        <is>
          <t>GEN-006</t>
        </is>
      </c>
      <c r="C7" s="20" t="inlineStr">
        <is>
          <t>GEN-002</t>
        </is>
      </c>
      <c r="D7" s="20">
        <f>IFERROR(VLOOKUP(B7,Concepts!$A:$B,2,FALSE()),"")</f>
        <v/>
      </c>
      <c r="E7" s="20">
        <f>IFERROR(VLOOKUP(C7,Concepts!$A:$B,2,FALSE()),"")</f>
        <v/>
      </c>
      <c r="F7" s="20" t="inlineStr">
        <is>
          <t>+</t>
        </is>
      </c>
      <c r="G7" s="20" t="inlineStr">
        <is>
          <t>N</t>
        </is>
      </c>
      <c r="H7" s="20" t="inlineStr">
        <is>
          <t>Co-created value satisfies needs</t>
        </is>
      </c>
      <c r="I7" s="20" t="inlineStr">
        <is>
          <t>draft</t>
        </is>
      </c>
    </row>
    <row r="8" ht="15" customHeight="1" s="12">
      <c r="A8" s="20" t="inlineStr">
        <is>
          <t>L07</t>
        </is>
      </c>
      <c r="B8" s="20" t="inlineStr">
        <is>
          <t>GEN-007</t>
        </is>
      </c>
      <c r="C8" s="20" t="inlineStr">
        <is>
          <t>GEN-002</t>
        </is>
      </c>
      <c r="D8" s="20">
        <f>IFERROR(VLOOKUP(B8,Concepts!$A:$B,2,FALSE()),"")</f>
        <v/>
      </c>
      <c r="E8" s="20">
        <f>IFERROR(VLOOKUP(C8,Concepts!$A:$B,2,FALSE()),"")</f>
        <v/>
      </c>
      <c r="F8" s="20" t="inlineStr">
        <is>
          <t>-</t>
        </is>
      </c>
      <c r="G8" s="20" t="inlineStr">
        <is>
          <t>N</t>
        </is>
      </c>
      <c r="H8" s="20" t="inlineStr">
        <is>
          <t>Co-destroyed value impedes needs</t>
        </is>
      </c>
      <c r="I8" s="20" t="inlineStr">
        <is>
          <t>draft</t>
        </is>
      </c>
    </row>
    <row r="9" ht="15" customHeight="1" s="12">
      <c r="A9" s="20" t="inlineStr">
        <is>
          <t>L08</t>
        </is>
      </c>
      <c r="B9" s="20" t="inlineStr">
        <is>
          <t>GEN-008</t>
        </is>
      </c>
      <c r="C9" s="20" t="inlineStr">
        <is>
          <t>GEN-002</t>
        </is>
      </c>
      <c r="D9" s="20">
        <f>IFERROR(VLOOKUP(B9,Concepts!$A:$B,2,FALSE()),"")</f>
        <v/>
      </c>
      <c r="E9" s="20">
        <f>IFERROR(VLOOKUP(C9,Concepts!$A:$B,2,FALSE()),"")</f>
        <v/>
      </c>
      <c r="F9" s="20" t="inlineStr">
        <is>
          <t>+</t>
        </is>
      </c>
      <c r="G9" s="20" t="inlineStr">
        <is>
          <t>N</t>
        </is>
      </c>
      <c r="H9" s="20" t="inlineStr">
        <is>
          <t>Better delivery quality raises satisfaction</t>
        </is>
      </c>
      <c r="I9" s="20" t="inlineStr">
        <is>
          <t>draft</t>
        </is>
      </c>
    </row>
    <row r="10" ht="15" customHeight="1" s="12">
      <c r="A10" s="20" t="inlineStr">
        <is>
          <t>L09</t>
        </is>
      </c>
      <c r="B10" s="20" t="inlineStr">
        <is>
          <t>GEN-003</t>
        </is>
      </c>
      <c r="C10" s="20" t="inlineStr">
        <is>
          <t>GEN-009</t>
        </is>
      </c>
      <c r="D10" s="20">
        <f>IFERROR(VLOOKUP(B10,Concepts!$A:$B,2,FALSE()),"")</f>
        <v/>
      </c>
      <c r="E10" s="20">
        <f>IFERROR(VLOOKUP(C10,Concepts!$A:$B,2,FALSE()),"")</f>
        <v/>
      </c>
      <c r="F10" s="20" t="inlineStr">
        <is>
          <t>+</t>
        </is>
      </c>
      <c r="G10" s="20" t="inlineStr">
        <is>
          <t>N</t>
        </is>
      </c>
      <c r="H10" s="20" t="inlineStr">
        <is>
          <t>More stakeholders demand more activity</t>
        </is>
      </c>
      <c r="I10" s="20" t="inlineStr">
        <is>
          <t>draft</t>
        </is>
      </c>
    </row>
    <row r="11" ht="15" customHeight="1" s="12">
      <c r="A11" s="20" t="inlineStr">
        <is>
          <t>L10</t>
        </is>
      </c>
      <c r="B11" s="20" t="inlineStr">
        <is>
          <t>GEN-009</t>
        </is>
      </c>
      <c r="C11" s="20" t="inlineStr">
        <is>
          <t>GEN-006</t>
        </is>
      </c>
      <c r="D11" s="20">
        <f>IFERROR(VLOOKUP(B11,Concepts!$A:$B,2,FALSE()),"")</f>
        <v/>
      </c>
      <c r="E11" s="20">
        <f>IFERROR(VLOOKUP(C11,Concepts!$A:$B,2,FALSE()),"")</f>
        <v/>
      </c>
      <c r="F11" s="20" t="inlineStr">
        <is>
          <t>+</t>
        </is>
      </c>
      <c r="G11" s="20" t="inlineStr">
        <is>
          <t>N</t>
        </is>
      </c>
      <c r="H11" s="20" t="inlineStr">
        <is>
          <t>Activities create value</t>
        </is>
      </c>
      <c r="I11" s="20" t="inlineStr">
        <is>
          <t>draft</t>
        </is>
      </c>
    </row>
    <row r="12" ht="15" customHeight="1" s="12">
      <c r="A12" s="20" t="inlineStr">
        <is>
          <t>L11</t>
        </is>
      </c>
      <c r="B12" s="20" t="inlineStr">
        <is>
          <t>GEN-009</t>
        </is>
      </c>
      <c r="C12" s="20" t="inlineStr">
        <is>
          <t>GEN-007</t>
        </is>
      </c>
      <c r="D12" s="20">
        <f>IFERROR(VLOOKUP(B12,Concepts!$A:$B,2,FALSE()),"")</f>
        <v/>
      </c>
      <c r="E12" s="20">
        <f>IFERROR(VLOOKUP(C12,Concepts!$A:$B,2,FALSE()),"")</f>
        <v/>
      </c>
      <c r="F12" s="20" t="inlineStr">
        <is>
          <t>+</t>
        </is>
      </c>
      <c r="G12" s="20" t="inlineStr">
        <is>
          <t>N</t>
        </is>
      </c>
      <c r="H12" s="20" t="inlineStr">
        <is>
          <t>Activities also generate unintended harm</t>
        </is>
      </c>
      <c r="I12" s="20" t="inlineStr">
        <is>
          <t>draft</t>
        </is>
      </c>
    </row>
    <row r="13" ht="15" customHeight="1" s="12">
      <c r="A13" s="20" t="inlineStr">
        <is>
          <t>L12</t>
        </is>
      </c>
      <c r="B13" s="20" t="inlineStr">
        <is>
          <t>GEN-009</t>
        </is>
      </c>
      <c r="C13" s="20" t="inlineStr">
        <is>
          <t>GEN-008</t>
        </is>
      </c>
      <c r="D13" s="20">
        <f>IFERROR(VLOOKUP(B13,Concepts!$A:$B,2,FALSE()),"")</f>
        <v/>
      </c>
      <c r="E13" s="20">
        <f>IFERROR(VLOOKUP(C13,Concepts!$A:$B,2,FALSE()),"")</f>
        <v/>
      </c>
      <c r="F13" s="20" t="inlineStr">
        <is>
          <t>-</t>
        </is>
      </c>
      <c r="G13" s="20" t="inlineStr">
        <is>
          <t>N</t>
        </is>
      </c>
      <c r="H13" s="20" t="inlineStr">
        <is>
          <t>Load beyond capacity erodes quality</t>
        </is>
      </c>
      <c r="I13" s="20" t="inlineStr">
        <is>
          <t>draft</t>
        </is>
      </c>
    </row>
    <row r="14" ht="15" customHeight="1" s="12">
      <c r="A14" s="20" t="inlineStr">
        <is>
          <t>L13</t>
        </is>
      </c>
      <c r="B14" s="20" t="inlineStr">
        <is>
          <t>GEN-011</t>
        </is>
      </c>
      <c r="C14" s="20" t="inlineStr">
        <is>
          <t>GEN-008</t>
        </is>
      </c>
      <c r="D14" s="20">
        <f>IFERROR(VLOOKUP(B14,Concepts!$A:$B,2,FALSE()),"")</f>
        <v/>
      </c>
      <c r="E14" s="20">
        <f>IFERROR(VLOOKUP(C14,Concepts!$A:$B,2,FALSE()),"")</f>
        <v/>
      </c>
      <c r="F14" s="20" t="inlineStr">
        <is>
          <t>+</t>
        </is>
      </c>
      <c r="G14" s="20" t="inlineStr">
        <is>
          <t>N</t>
        </is>
      </c>
      <c r="H14" s="20" t="inlineStr">
        <is>
          <t>Capacity supports delivery quality</t>
        </is>
      </c>
      <c r="I14" s="20" t="inlineStr">
        <is>
          <t>draft</t>
        </is>
      </c>
    </row>
    <row r="15" ht="15" customHeight="1" s="12">
      <c r="A15" s="20" t="inlineStr">
        <is>
          <t>L14</t>
        </is>
      </c>
      <c r="B15" s="20" t="inlineStr">
        <is>
          <t>GEN-010</t>
        </is>
      </c>
      <c r="C15" s="20" t="inlineStr">
        <is>
          <t>GEN-011</t>
        </is>
      </c>
      <c r="D15" s="20">
        <f>IFERROR(VLOOKUP(B15,Concepts!$A:$B,2,FALSE()),"")</f>
        <v/>
      </c>
      <c r="E15" s="20">
        <f>IFERROR(VLOOKUP(C15,Concepts!$A:$B,2,FALSE()),"")</f>
        <v/>
      </c>
      <c r="F15" s="20" t="inlineStr">
        <is>
          <t>+</t>
        </is>
      </c>
      <c r="G15" s="20" t="inlineStr">
        <is>
          <t>Y</t>
        </is>
      </c>
      <c r="H15" s="20" t="inlineStr">
        <is>
          <t>Resources build capacity (with delay)</t>
        </is>
      </c>
      <c r="I15" s="20" t="inlineStr">
        <is>
          <t>draft</t>
        </is>
      </c>
    </row>
    <row r="16" ht="15" customHeight="1" s="12">
      <c r="A16" s="20" t="inlineStr">
        <is>
          <t>L15</t>
        </is>
      </c>
      <c r="B16" s="20" t="inlineStr">
        <is>
          <t>GEN-003</t>
        </is>
      </c>
      <c r="C16" s="20" t="inlineStr">
        <is>
          <t>GEN-010</t>
        </is>
      </c>
      <c r="D16" s="20">
        <f>IFERROR(VLOOKUP(B16,Concepts!$A:$B,2,FALSE()),"")</f>
        <v/>
      </c>
      <c r="E16" s="20">
        <f>IFERROR(VLOOKUP(C16,Concepts!$A:$B,2,FALSE()),"")</f>
        <v/>
      </c>
      <c r="F16" s="20" t="inlineStr">
        <is>
          <t>+</t>
        </is>
      </c>
      <c r="G16" s="20" t="inlineStr">
        <is>
          <t>N</t>
        </is>
      </c>
      <c r="H16" s="20" t="inlineStr">
        <is>
          <t>Stakeholder exchanges replenish resources</t>
        </is>
      </c>
      <c r="I16" s="20" t="inlineStr">
        <is>
          <t>draft</t>
        </is>
      </c>
    </row>
    <row r="17" ht="15" customHeight="1" s="12">
      <c r="A17" s="20" t="inlineStr">
        <is>
          <t>L16</t>
        </is>
      </c>
      <c r="B17" s="20" t="inlineStr">
        <is>
          <t>GEN-003</t>
        </is>
      </c>
      <c r="C17" s="20" t="inlineStr">
        <is>
          <t>GEN-012</t>
        </is>
      </c>
      <c r="D17" s="20">
        <f>IFERROR(VLOOKUP(B17,Concepts!$A:$B,2,FALSE()),"")</f>
        <v/>
      </c>
      <c r="E17" s="20">
        <f>IFERROR(VLOOKUP(C17,Concepts!$A:$B,2,FALSE()),"")</f>
        <v/>
      </c>
      <c r="F17" s="20" t="inlineStr">
        <is>
          <t>+</t>
        </is>
      </c>
      <c r="G17" s="20" t="inlineStr">
        <is>
          <t>N</t>
        </is>
      </c>
      <c r="H17" s="20" t="inlineStr">
        <is>
          <t>Engagement strengthens partnerships</t>
        </is>
      </c>
      <c r="I17" s="20" t="inlineStr">
        <is>
          <t>draft</t>
        </is>
      </c>
    </row>
    <row r="18" ht="15" customHeight="1" s="12">
      <c r="A18" s="20" t="inlineStr">
        <is>
          <t>L17</t>
        </is>
      </c>
      <c r="B18" s="20" t="inlineStr">
        <is>
          <t>GEN-012</t>
        </is>
      </c>
      <c r="C18" s="20" t="inlineStr">
        <is>
          <t>GEN-010</t>
        </is>
      </c>
      <c r="D18" s="20">
        <f>IFERROR(VLOOKUP(B18,Concepts!$A:$B,2,FALSE()),"")</f>
        <v/>
      </c>
      <c r="E18" s="20">
        <f>IFERROR(VLOOKUP(C18,Concepts!$A:$B,2,FALSE()),"")</f>
        <v/>
      </c>
      <c r="F18" s="20" t="inlineStr">
        <is>
          <t>+</t>
        </is>
      </c>
      <c r="G18" s="20" t="inlineStr">
        <is>
          <t>N</t>
        </is>
      </c>
      <c r="H18" s="20" t="inlineStr">
        <is>
          <t>Partnerships give access to resources</t>
        </is>
      </c>
      <c r="I18" s="20" t="inlineStr">
        <is>
          <t>draft</t>
        </is>
      </c>
    </row>
    <row r="19" ht="15" customHeight="1" s="12">
      <c r="A19" s="20" t="inlineStr">
        <is>
          <t>L18</t>
        </is>
      </c>
      <c r="B19" s="20" t="inlineStr">
        <is>
          <t>GEN-009</t>
        </is>
      </c>
      <c r="C19" s="20" t="inlineStr">
        <is>
          <t>GEN-015</t>
        </is>
      </c>
      <c r="D19" s="20">
        <f>IFERROR(VLOOKUP(B19,Concepts!$A:$B,2,FALSE()),"")</f>
        <v/>
      </c>
      <c r="E19" s="20">
        <f>IFERROR(VLOOKUP(C19,Concepts!$A:$B,2,FALSE()),"")</f>
        <v/>
      </c>
      <c r="F19" s="20" t="inlineStr">
        <is>
          <t>+</t>
        </is>
      </c>
      <c r="G19" s="20" t="inlineStr">
        <is>
          <t>N</t>
        </is>
      </c>
      <c r="H19" s="20" t="inlineStr">
        <is>
          <t>Activity drives extraction and impact</t>
        </is>
      </c>
      <c r="I19" s="20" t="inlineStr">
        <is>
          <t>draft</t>
        </is>
      </c>
    </row>
    <row r="20" ht="15" customHeight="1" s="12">
      <c r="A20" s="20" t="inlineStr">
        <is>
          <t>L19</t>
        </is>
      </c>
      <c r="B20" s="20" t="inlineStr">
        <is>
          <t>GEN-015</t>
        </is>
      </c>
      <c r="C20" s="20" t="inlineStr">
        <is>
          <t>GEN-014</t>
        </is>
      </c>
      <c r="D20" s="20">
        <f>IFERROR(VLOOKUP(B20,Concepts!$A:$B,2,FALSE()),"")</f>
        <v/>
      </c>
      <c r="E20" s="20">
        <f>IFERROR(VLOOKUP(C20,Concepts!$A:$B,2,FALSE()),"")</f>
        <v/>
      </c>
      <c r="F20" s="20" t="inlineStr">
        <is>
          <t>-</t>
        </is>
      </c>
      <c r="G20" s="20" t="inlineStr">
        <is>
          <t>N</t>
        </is>
      </c>
      <c r="H20" s="20" t="inlineStr">
        <is>
          <t>Extraction depletes biophysical stocks</t>
        </is>
      </c>
      <c r="I20" s="20" t="inlineStr">
        <is>
          <t>draft</t>
        </is>
      </c>
    </row>
    <row r="21" ht="15" customHeight="1" s="12">
      <c r="A21" s="20" t="inlineStr">
        <is>
          <t>L20</t>
        </is>
      </c>
      <c r="B21" s="20" t="inlineStr">
        <is>
          <t>GEN-014</t>
        </is>
      </c>
      <c r="C21" s="20" t="inlineStr">
        <is>
          <t>GEN-017</t>
        </is>
      </c>
      <c r="D21" s="20">
        <f>IFERROR(VLOOKUP(B21,Concepts!$A:$B,2,FALSE()),"")</f>
        <v/>
      </c>
      <c r="E21" s="20">
        <f>IFERROR(VLOOKUP(C21,Concepts!$A:$B,2,FALSE()),"")</f>
        <v/>
      </c>
      <c r="F21" s="20" t="inlineStr">
        <is>
          <t>+</t>
        </is>
      </c>
      <c r="G21" s="20" t="inlineStr">
        <is>
          <t>Y</t>
        </is>
      </c>
      <c r="H21" s="20" t="inlineStr">
        <is>
          <t>Biophysical stocks underpin ecosystem services</t>
        </is>
      </c>
      <c r="I21" s="20" t="inlineStr">
        <is>
          <t>draft</t>
        </is>
      </c>
    </row>
    <row r="22" ht="15" customHeight="1" s="12">
      <c r="A22" s="20" t="inlineStr">
        <is>
          <t>L21</t>
        </is>
      </c>
      <c r="B22" s="20" t="inlineStr">
        <is>
          <t>GEN-017</t>
        </is>
      </c>
      <c r="C22" s="20" t="inlineStr">
        <is>
          <t>GEN-011</t>
        </is>
      </c>
      <c r="D22" s="20">
        <f>IFERROR(VLOOKUP(B22,Concepts!$A:$B,2,FALSE()),"")</f>
        <v/>
      </c>
      <c r="E22" s="20">
        <f>IFERROR(VLOOKUP(C22,Concepts!$A:$B,2,FALSE()),"")</f>
        <v/>
      </c>
      <c r="F22" s="20" t="inlineStr">
        <is>
          <t>+</t>
        </is>
      </c>
      <c r="G22" s="20" t="inlineStr">
        <is>
          <t>N</t>
        </is>
      </c>
      <c r="H22" s="20" t="inlineStr">
        <is>
          <t>Ecosystem services enable capacity</t>
        </is>
      </c>
      <c r="I22" s="20" t="inlineStr">
        <is>
          <t>draft</t>
        </is>
      </c>
    </row>
    <row r="23" ht="15" customHeight="1" s="12">
      <c r="A23" s="20" t="inlineStr">
        <is>
          <t>L22</t>
        </is>
      </c>
      <c r="B23" s="20" t="inlineStr">
        <is>
          <t>GEN-016</t>
        </is>
      </c>
      <c r="C23" s="20" t="inlineStr">
        <is>
          <t>GEN-014</t>
        </is>
      </c>
      <c r="D23" s="20">
        <f>IFERROR(VLOOKUP(B23,Concepts!$A:$B,2,FALSE()),"")</f>
        <v/>
      </c>
      <c r="E23" s="20">
        <f>IFERROR(VLOOKUP(C23,Concepts!$A:$B,2,FALSE()),"")</f>
        <v/>
      </c>
      <c r="F23" s="20" t="inlineStr">
        <is>
          <t>+</t>
        </is>
      </c>
      <c r="G23" s="20" t="inlineStr">
        <is>
          <t>Y</t>
        </is>
      </c>
      <c r="H23" s="20" t="inlineStr">
        <is>
          <t>Regeneration rebuilds biophysical stocks</t>
        </is>
      </c>
      <c r="I23" s="20" t="inlineStr">
        <is>
          <t>draft</t>
        </is>
      </c>
    </row>
    <row r="24" ht="15" customHeight="1" s="12">
      <c r="A24" s="20" t="inlineStr">
        <is>
          <t>L23</t>
        </is>
      </c>
      <c r="B24" s="20" t="inlineStr">
        <is>
          <t>GEN-010</t>
        </is>
      </c>
      <c r="C24" s="20" t="inlineStr">
        <is>
          <t>GEN-016</t>
        </is>
      </c>
      <c r="D24" s="20">
        <f>IFERROR(VLOOKUP(B24,Concepts!$A:$B,2,FALSE()),"")</f>
        <v/>
      </c>
      <c r="E24" s="20">
        <f>IFERROR(VLOOKUP(C24,Concepts!$A:$B,2,FALSE()),"")</f>
        <v/>
      </c>
      <c r="F24" s="20" t="inlineStr">
        <is>
          <t>+</t>
        </is>
      </c>
      <c r="G24" s="20" t="inlineStr">
        <is>
          <t>N</t>
        </is>
      </c>
      <c r="H24" s="20" t="inlineStr">
        <is>
          <t>Resources fund regenerative activities</t>
        </is>
      </c>
      <c r="I24" s="20" t="inlineStr">
        <is>
          <t>draft</t>
        </is>
      </c>
    </row>
    <row r="25" ht="15" customHeight="1" s="12">
      <c r="A25" s="20" t="inlineStr">
        <is>
          <t>L24</t>
        </is>
      </c>
      <c r="B25" s="20" t="inlineStr">
        <is>
          <t>GEN-013</t>
        </is>
      </c>
      <c r="C25" s="20" t="inlineStr">
        <is>
          <t>GEN-016</t>
        </is>
      </c>
      <c r="D25" s="20">
        <f>IFERROR(VLOOKUP(B25,Concepts!$A:$B,2,FALSE()),"")</f>
        <v/>
      </c>
      <c r="E25" s="20">
        <f>IFERROR(VLOOKUP(C25,Concepts!$A:$B,2,FALSE()),"")</f>
        <v/>
      </c>
      <c r="F25" s="20" t="inlineStr">
        <is>
          <t>+</t>
        </is>
      </c>
      <c r="G25" s="20" t="inlineStr">
        <is>
          <t>N</t>
        </is>
      </c>
      <c r="H25" s="20" t="inlineStr">
        <is>
          <t>Governance directs regeneration effort</t>
        </is>
      </c>
      <c r="I25" s="20" t="inlineStr">
        <is>
          <t>draft</t>
        </is>
      </c>
    </row>
    <row r="26" ht="15" customHeight="1" s="12">
      <c r="A26" s="20" t="inlineStr">
        <is>
          <t>L25</t>
        </is>
      </c>
      <c r="B26" s="20" t="inlineStr">
        <is>
          <t>GEN-006</t>
        </is>
      </c>
      <c r="C26" s="20" t="inlineStr">
        <is>
          <t>GEN-019</t>
        </is>
      </c>
      <c r="D26" s="20">
        <f>IFERROR(VLOOKUP(B26,Concepts!$A:$B,2,FALSE()),"")</f>
        <v/>
      </c>
      <c r="E26" s="20">
        <f>IFERROR(VLOOKUP(C26,Concepts!$A:$B,2,FALSE()),"")</f>
        <v/>
      </c>
      <c r="F26" s="20" t="inlineStr">
        <is>
          <t>+</t>
        </is>
      </c>
      <c r="G26" s="20" t="inlineStr">
        <is>
          <t>N</t>
        </is>
      </c>
      <c r="H26" s="20" t="inlineStr">
        <is>
          <t>Co-creation realizes tri-profit benefits</t>
        </is>
      </c>
      <c r="I26" s="20" t="inlineStr">
        <is>
          <t>draft</t>
        </is>
      </c>
    </row>
    <row r="27" ht="15" customHeight="1" s="12">
      <c r="A27" s="20" t="inlineStr">
        <is>
          <t>L26</t>
        </is>
      </c>
      <c r="B27" s="20" t="inlineStr">
        <is>
          <t>GEN-009</t>
        </is>
      </c>
      <c r="C27" s="20" t="inlineStr">
        <is>
          <t>GEN-018</t>
        </is>
      </c>
      <c r="D27" s="20">
        <f>IFERROR(VLOOKUP(B27,Concepts!$A:$B,2,FALSE()),"")</f>
        <v/>
      </c>
      <c r="E27" s="20">
        <f>IFERROR(VLOOKUP(C27,Concepts!$A:$B,2,FALSE()),"")</f>
        <v/>
      </c>
      <c r="F27" s="20" t="inlineStr">
        <is>
          <t>+</t>
        </is>
      </c>
      <c r="G27" s="20" t="inlineStr">
        <is>
          <t>N</t>
        </is>
      </c>
      <c r="H27" s="20" t="inlineStr">
        <is>
          <t>Activity incurs costs</t>
        </is>
      </c>
      <c r="I27" s="20" t="inlineStr">
        <is>
          <t>draft</t>
        </is>
      </c>
    </row>
    <row r="28" ht="15" customHeight="1" s="12">
      <c r="A28" s="20" t="inlineStr">
        <is>
          <t>L27</t>
        </is>
      </c>
      <c r="B28" s="20" t="inlineStr">
        <is>
          <t>GEN-007</t>
        </is>
      </c>
      <c r="C28" s="20" t="inlineStr">
        <is>
          <t>GEN-018</t>
        </is>
      </c>
      <c r="D28" s="20">
        <f>IFERROR(VLOOKUP(B28,Concepts!$A:$B,2,FALSE()),"")</f>
        <v/>
      </c>
      <c r="E28" s="20">
        <f>IFERROR(VLOOKUP(C28,Concepts!$A:$B,2,FALSE()),"")</f>
        <v/>
      </c>
      <c r="F28" s="20" t="inlineStr">
        <is>
          <t>+</t>
        </is>
      </c>
      <c r="G28" s="20" t="inlineStr">
        <is>
          <t>N</t>
        </is>
      </c>
      <c r="H28" s="20" t="inlineStr">
        <is>
          <t>Co-destruction adds (external) costs</t>
        </is>
      </c>
      <c r="I28" s="20" t="inlineStr">
        <is>
          <t>draft</t>
        </is>
      </c>
    </row>
    <row r="29" ht="15" customHeight="1" s="12">
      <c r="A29" s="20" t="inlineStr">
        <is>
          <t>L28</t>
        </is>
      </c>
      <c r="B29" s="20" t="inlineStr">
        <is>
          <t>GEN-019</t>
        </is>
      </c>
      <c r="C29" s="20" t="inlineStr">
        <is>
          <t>GEN-020</t>
        </is>
      </c>
      <c r="D29" s="20">
        <f>IFERROR(VLOOKUP(B29,Concepts!$A:$B,2,FALSE()),"")</f>
        <v/>
      </c>
      <c r="E29" s="20">
        <f>IFERROR(VLOOKUP(C29,Concepts!$A:$B,2,FALSE()),"")</f>
        <v/>
      </c>
      <c r="F29" s="20" t="inlineStr">
        <is>
          <t>-</t>
        </is>
      </c>
      <c r="G29" s="20" t="inlineStr">
        <is>
          <t>N</t>
        </is>
      </c>
      <c r="H29" s="20" t="inlineStr">
        <is>
          <t>Benefits close the goal gap</t>
        </is>
      </c>
      <c r="I29" s="20" t="inlineStr">
        <is>
          <t>draft</t>
        </is>
      </c>
    </row>
    <row r="30" ht="15" customHeight="1" s="12">
      <c r="A30" s="20" t="inlineStr">
        <is>
          <t>L29</t>
        </is>
      </c>
      <c r="B30" s="20" t="inlineStr">
        <is>
          <t>GEN-018</t>
        </is>
      </c>
      <c r="C30" s="20" t="inlineStr">
        <is>
          <t>GEN-020</t>
        </is>
      </c>
      <c r="D30" s="20">
        <f>IFERROR(VLOOKUP(B30,Concepts!$A:$B,2,FALSE()),"")</f>
        <v/>
      </c>
      <c r="E30" s="20">
        <f>IFERROR(VLOOKUP(C30,Concepts!$A:$B,2,FALSE()),"")</f>
        <v/>
      </c>
      <c r="F30" s="20" t="inlineStr">
        <is>
          <t>+</t>
        </is>
      </c>
      <c r="G30" s="20" t="inlineStr">
        <is>
          <t>N</t>
        </is>
      </c>
      <c r="H30" s="20" t="inlineStr">
        <is>
          <t>Costs widen the goal gap</t>
        </is>
      </c>
      <c r="I30" s="20" t="inlineStr">
        <is>
          <t>draft</t>
        </is>
      </c>
    </row>
    <row r="31" ht="15" customHeight="1" s="12">
      <c r="A31" s="20" t="inlineStr">
        <is>
          <t>L30</t>
        </is>
      </c>
      <c r="B31" s="20" t="inlineStr">
        <is>
          <t>GEN-020</t>
        </is>
      </c>
      <c r="C31" s="20" t="inlineStr">
        <is>
          <t>GEN-013</t>
        </is>
      </c>
      <c r="D31" s="20">
        <f>IFERROR(VLOOKUP(B31,Concepts!$A:$B,2,FALSE()),"")</f>
        <v/>
      </c>
      <c r="E31" s="20">
        <f>IFERROR(VLOOKUP(C31,Concepts!$A:$B,2,FALSE()),"")</f>
        <v/>
      </c>
      <c r="F31" s="20" t="inlineStr">
        <is>
          <t>+</t>
        </is>
      </c>
      <c r="G31" s="20" t="inlineStr">
        <is>
          <t>Y</t>
        </is>
      </c>
      <c r="H31" s="20" t="inlineStr">
        <is>
          <t>A gap triggers governance response</t>
        </is>
      </c>
      <c r="I31" s="20" t="inlineStr">
        <is>
          <t>draft</t>
        </is>
      </c>
    </row>
    <row r="32" ht="15" customHeight="1" s="12">
      <c r="A32" s="20" t="inlineStr">
        <is>
          <t>L31</t>
        </is>
      </c>
      <c r="B32" s="20" t="inlineStr">
        <is>
          <t>GEN-013</t>
        </is>
      </c>
      <c r="C32" s="20" t="inlineStr">
        <is>
          <t>GEN-011</t>
        </is>
      </c>
      <c r="D32" s="20">
        <f>IFERROR(VLOOKUP(B32,Concepts!$A:$B,2,FALSE()),"")</f>
        <v/>
      </c>
      <c r="E32" s="20">
        <f>IFERROR(VLOOKUP(C32,Concepts!$A:$B,2,FALSE()),"")</f>
        <v/>
      </c>
      <c r="F32" s="20" t="inlineStr">
        <is>
          <t>+</t>
        </is>
      </c>
      <c r="G32" s="20" t="inlineStr">
        <is>
          <t>Y</t>
        </is>
      </c>
      <c r="H32" s="20" t="inlineStr">
        <is>
          <t>Governance reallocates capacity</t>
        </is>
      </c>
      <c r="I32" s="20" t="inlineStr">
        <is>
          <t>draft</t>
        </is>
      </c>
    </row>
    <row r="33" ht="15" customHeight="1" s="12">
      <c r="A33" s="20" t="inlineStr">
        <is>
          <t>L32</t>
        </is>
      </c>
      <c r="B33" s="20" t="inlineStr">
        <is>
          <t>GEN-019</t>
        </is>
      </c>
      <c r="C33" s="20" t="inlineStr">
        <is>
          <t>GEN-021</t>
        </is>
      </c>
      <c r="D33" s="20">
        <f>IFERROR(VLOOKUP(B33,Concepts!$A:$B,2,FALSE()),"")</f>
        <v/>
      </c>
      <c r="E33" s="20">
        <f>IFERROR(VLOOKUP(C33,Concepts!$A:$B,2,FALSE()),"")</f>
        <v/>
      </c>
      <c r="F33" s="20" t="inlineStr">
        <is>
          <t>+</t>
        </is>
      </c>
      <c r="G33" s="20" t="inlineStr">
        <is>
          <t>Y</t>
        </is>
      </c>
      <c r="H33" s="20" t="inlineStr">
        <is>
          <t>Benefits build societal legitimacy</t>
        </is>
      </c>
      <c r="I33" s="20" t="inlineStr">
        <is>
          <t>draft</t>
        </is>
      </c>
    </row>
    <row r="34" ht="15" customHeight="1" s="12">
      <c r="A34" s="20" t="inlineStr">
        <is>
          <t>L33</t>
        </is>
      </c>
      <c r="B34" s="20" t="inlineStr">
        <is>
          <t>GEN-007</t>
        </is>
      </c>
      <c r="C34" s="20" t="inlineStr">
        <is>
          <t>GEN-021</t>
        </is>
      </c>
      <c r="D34" s="20">
        <f>IFERROR(VLOOKUP(B34,Concepts!$A:$B,2,FALSE()),"")</f>
        <v/>
      </c>
      <c r="E34" s="20">
        <f>IFERROR(VLOOKUP(C34,Concepts!$A:$B,2,FALSE()),"")</f>
        <v/>
      </c>
      <c r="F34" s="20" t="inlineStr">
        <is>
          <t>-</t>
        </is>
      </c>
      <c r="G34" s="20" t="inlineStr">
        <is>
          <t>Y</t>
        </is>
      </c>
      <c r="H34" s="20" t="inlineStr">
        <is>
          <t>Harm erodes legitimacy</t>
        </is>
      </c>
      <c r="I34" s="20" t="inlineStr">
        <is>
          <t>draft</t>
        </is>
      </c>
    </row>
    <row r="35" ht="15" customHeight="1" s="12">
      <c r="A35" s="20" t="inlineStr">
        <is>
          <t>L34</t>
        </is>
      </c>
      <c r="B35" s="20" t="inlineStr">
        <is>
          <t>GEN-021</t>
        </is>
      </c>
      <c r="C35" s="20" t="inlineStr">
        <is>
          <t>GEN-005</t>
        </is>
      </c>
      <c r="D35" s="20">
        <f>IFERROR(VLOOKUP(B35,Concepts!$A:$B,2,FALSE()),"")</f>
        <v/>
      </c>
      <c r="E35" s="20">
        <f>IFERROR(VLOOKUP(C35,Concepts!$A:$B,2,FALSE()),"")</f>
        <v/>
      </c>
      <c r="F35" s="20" t="inlineStr">
        <is>
          <t>+</t>
        </is>
      </c>
      <c r="G35" s="20" t="inlineStr">
        <is>
          <t>N</t>
        </is>
      </c>
      <c r="H35" s="20" t="inlineStr">
        <is>
          <t>Legitimacy attracts engagement</t>
        </is>
      </c>
      <c r="I35" s="20" t="inlineStr">
        <is>
          <t>draft</t>
        </is>
      </c>
    </row>
  </sheetData>
  <dataValidations count="3">
    <dataValidation sqref="F2:F300" showDropDown="0" showInputMessage="0" showErrorMessage="0" allowBlank="1" type="list" errorStyle="stop" operator="between">
      <formula1>Lists!$G$2:$G$3</formula1>
      <formula2>0</formula2>
    </dataValidation>
    <dataValidation sqref="G2:G300" showDropDown="0" showInputMessage="0" showErrorMessage="0" allowBlank="1" type="list" errorStyle="stop" operator="between">
      <formula1>Lists!$D$2:$D$3</formula1>
      <formula2>0</formula2>
    </dataValidation>
    <dataValidation sqref="I2:I3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9" customWidth="1" style="11" min="1" max="1"/>
    <col width="26" customWidth="1" style="11" min="2" max="2"/>
    <col width="34" customWidth="1" style="11" min="3" max="3"/>
    <col width="14" customWidth="1" style="11" min="4" max="4"/>
    <col width="13" customWidth="1" style="11" min="5" max="5"/>
    <col width="26" customWidth="1" style="11" min="6" max="6"/>
    <col width="60" customWidth="1" style="11" min="7" max="7"/>
  </cols>
  <sheetData>
    <row r="1" ht="23.85" customHeight="1" s="12">
      <c r="A1" s="19" t="inlineStr">
        <is>
          <t>LoopID</t>
        </is>
      </c>
      <c r="B1" s="19" t="inlineStr">
        <is>
          <t>LoopName</t>
        </is>
      </c>
      <c r="C1" s="19" t="inlineStr">
        <is>
          <t>Ordered LinkIDs</t>
        </is>
      </c>
      <c r="D1" s="19" t="inlineStr">
        <is>
          <t>NegLinkCount (manual)</t>
        </is>
      </c>
      <c r="E1" s="19" t="inlineStr">
        <is>
          <t>DerivedType (formula)</t>
        </is>
      </c>
      <c r="F1" s="19" t="inlineStr">
        <is>
          <t>Archetype</t>
        </is>
      </c>
      <c r="G1" s="19" t="inlineStr">
        <is>
          <t>Narrative</t>
        </is>
      </c>
    </row>
    <row r="2" ht="23.85" customHeight="1" s="12">
      <c r="A2" s="20" t="inlineStr">
        <is>
          <t>R1</t>
        </is>
      </c>
      <c r="B2" s="20" t="inlineStr">
        <is>
          <t>Value engagement engine</t>
        </is>
      </c>
      <c r="C2" s="20" t="inlineStr">
        <is>
          <t>L09,L10,L06,L05,L04,L01</t>
        </is>
      </c>
      <c r="D2" s="21" t="n">
        <v>0</v>
      </c>
      <c r="E2" s="20">
        <f>IF(ISODD(D2),"B","R")</f>
        <v/>
      </c>
      <c r="F2" s="20" t="inlineStr">
        <is>
          <t>Growth engine</t>
        </is>
      </c>
      <c r="G2" s="20" t="inlineStr">
        <is>
          <t>Base drives activity, value co-creation, satisfaction, trust and new engagement.</t>
        </is>
      </c>
    </row>
    <row r="3" ht="15" customHeight="1" s="12">
      <c r="A3" s="20" t="inlineStr">
        <is>
          <t>B1</t>
        </is>
      </c>
      <c r="B3" s="20" t="inlineStr">
        <is>
          <t>Actor pool saturation</t>
        </is>
      </c>
      <c r="C3" s="20" t="inlineStr">
        <is>
          <t>L02,L03,L01</t>
        </is>
      </c>
      <c r="D3" s="21" t="n">
        <v>1</v>
      </c>
      <c r="E3" s="20">
        <f>IF(ISODD(D3),"B","R")</f>
        <v/>
      </c>
      <c r="F3" s="20" t="inlineStr">
        <is>
          <t>Limits to growth (market)</t>
        </is>
      </c>
      <c r="G3" s="20" t="inlineStr">
        <is>
          <t>Engagement depletes the remaining addressable pool.</t>
        </is>
      </c>
    </row>
    <row r="4" ht="15" customHeight="1" s="12">
      <c r="A4" s="20" t="inlineStr">
        <is>
          <t>R2</t>
        </is>
      </c>
      <c r="B4" s="20" t="inlineStr">
        <is>
          <t>Capability reinvestment</t>
        </is>
      </c>
      <c r="C4" s="20" t="inlineStr">
        <is>
          <t>L15,L14,L13,L08,L05,L04,L01</t>
        </is>
      </c>
      <c r="D4" s="21" t="n">
        <v>0</v>
      </c>
      <c r="E4" s="20">
        <f>IF(ISODD(D4),"B","R")</f>
        <v/>
      </c>
      <c r="F4" s="20" t="inlineStr">
        <is>
          <t>Investment engine</t>
        </is>
      </c>
      <c r="G4" s="20" t="inlineStr">
        <is>
          <t>Exchanges replenish resources, capacity and quality, feeding satisfaction.</t>
        </is>
      </c>
    </row>
    <row r="5" ht="23.85" customHeight="1" s="12">
      <c r="A5" s="20" t="inlineStr">
        <is>
          <t>B2</t>
        </is>
      </c>
      <c r="B5" s="20" t="inlineStr">
        <is>
          <t>Service overload</t>
        </is>
      </c>
      <c r="C5" s="20" t="inlineStr">
        <is>
          <t>L09,L12,L08,L05,L04,L01</t>
        </is>
      </c>
      <c r="D5" s="21" t="n">
        <v>1</v>
      </c>
      <c r="E5" s="20">
        <f>IF(ISODD(D5),"B","R")</f>
        <v/>
      </c>
      <c r="F5" s="20" t="inlineStr">
        <is>
          <t>Growth &amp; underinvestment (with R2)</t>
        </is>
      </c>
      <c r="G5" s="20" t="inlineStr">
        <is>
          <t>Throughput beyond capacity erodes quality and slows growth.</t>
        </is>
      </c>
    </row>
    <row r="6" ht="15" customHeight="1" s="12">
      <c r="A6" s="20" t="inlineStr">
        <is>
          <t>B3</t>
        </is>
      </c>
      <c r="B6" s="20" t="inlineStr">
        <is>
          <t>Co-destruction drag</t>
        </is>
      </c>
      <c r="C6" s="20" t="inlineStr">
        <is>
          <t>L09,L11,L07,L05,L04,L01</t>
        </is>
      </c>
      <c r="D6" s="21" t="n">
        <v>1</v>
      </c>
      <c r="E6" s="20">
        <f>IF(ISODD(D6),"B","R")</f>
        <v/>
      </c>
      <c r="F6" s="20" t="inlineStr">
        <is>
          <t>Externality backlash</t>
        </is>
      </c>
      <c r="G6" s="20" t="inlineStr">
        <is>
          <t>Activity side-effects impede needs and suppress engagement.</t>
        </is>
      </c>
    </row>
    <row r="7" ht="23.85" customHeight="1" s="12">
      <c r="A7" s="20" t="inlineStr">
        <is>
          <t>B4</t>
        </is>
      </c>
      <c r="B7" s="20" t="inlineStr">
        <is>
          <t>Ecological source limit</t>
        </is>
      </c>
      <c r="C7" s="20" t="inlineStr">
        <is>
          <t>L18,L19,L20,L21,L13,L08,L05,L04,L01,L09</t>
        </is>
      </c>
      <c r="D7" s="21" t="n">
        <v>1</v>
      </c>
      <c r="E7" s="20">
        <f>IF(ISODD(D7),"B","R")</f>
        <v/>
      </c>
      <c r="F7" s="20" t="inlineStr">
        <is>
          <t>Limits to growth (biophysical)</t>
        </is>
      </c>
      <c r="G7" s="20" t="inlineStr">
        <is>
          <t>Extraction depletes the stocks whose services enable capacity.</t>
        </is>
      </c>
    </row>
    <row r="8" ht="23.85" customHeight="1" s="12">
      <c r="A8" s="20" t="inlineStr">
        <is>
          <t>R3</t>
        </is>
      </c>
      <c r="B8" s="20" t="inlineStr">
        <is>
          <t>Regenerative reinvestment</t>
        </is>
      </c>
      <c r="C8" s="20" t="inlineStr">
        <is>
          <t>L23,L22,L20,L21,L13,L08,L05,L04,L01,L15</t>
        </is>
      </c>
      <c r="D8" s="21" t="n">
        <v>0</v>
      </c>
      <c r="E8" s="20">
        <f>IF(ISODD(D8),"B","R")</f>
        <v/>
      </c>
      <c r="F8" s="20" t="inlineStr">
        <is>
          <t>Regeneration engine</t>
        </is>
      </c>
      <c r="G8" s="20" t="inlineStr">
        <is>
          <t>Resources fund regeneration, rebuilding services and capacity.</t>
        </is>
      </c>
    </row>
    <row r="9" ht="23.85" customHeight="1" s="12">
      <c r="A9" s="20" t="inlineStr">
        <is>
          <t>B5</t>
        </is>
      </c>
      <c r="B9" s="20" t="inlineStr">
        <is>
          <t>Governance goal-seeking</t>
        </is>
      </c>
      <c r="C9" s="20" t="inlineStr">
        <is>
          <t>L28,L30,L31,L13,L08,L05,L04,L01,L09,L10,L25</t>
        </is>
      </c>
      <c r="D9" s="21" t="n">
        <v>1</v>
      </c>
      <c r="E9" s="20">
        <f>IF(ISODD(D9),"B","R")</f>
        <v/>
      </c>
      <c r="F9" s="20" t="inlineStr">
        <is>
          <t>Goal-seeking control</t>
        </is>
      </c>
      <c r="G9" s="20" t="inlineStr">
        <is>
          <t>The goal gap triggers governance that restores benefits.</t>
        </is>
      </c>
    </row>
    <row r="10" ht="15" customHeight="1" s="12">
      <c r="A10" s="20" t="inlineStr">
        <is>
          <t>R4</t>
        </is>
      </c>
      <c r="B10" s="20" t="inlineStr">
        <is>
          <t>Legitimacy engine</t>
        </is>
      </c>
      <c r="C10" s="20" t="inlineStr">
        <is>
          <t>L32,L34,L01,L09,L10,L25</t>
        </is>
      </c>
      <c r="D10" s="21" t="n">
        <v>0</v>
      </c>
      <c r="E10" s="20">
        <f>IF(ISODD(D10),"B","R")</f>
        <v/>
      </c>
      <c r="F10" s="20" t="inlineStr">
        <is>
          <t>Reputation engine</t>
        </is>
      </c>
      <c r="G10" s="20" t="inlineStr">
        <is>
          <t>Benefits earn legitimacy which attracts engagement.</t>
        </is>
      </c>
    </row>
    <row r="12" ht="15" customHeight="1" s="12">
      <c r="B12" s="14" t="inlineStr">
        <is>
          <t>NegLinkCount = number of '-' polarities among the listed LinkIDs (count them in CausalLinks). DerivedType then computes R/B — never type R/B directly (invariant I3).</t>
        </is>
      </c>
    </row>
  </sheetData>
  <mergeCells count="1">
    <mergeCell ref="B12:G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 min="1" max="1"/>
    <col width="14" customWidth="1" style="11" min="2" max="2"/>
    <col width="12" customWidth="1" style="11" min="3" max="3"/>
    <col width="26" customWidth="1" style="11" min="4" max="4"/>
    <col width="60" customWidth="1" style="11" min="5" max="5"/>
    <col width="16" customWidth="1" style="11" min="6" max="6"/>
    <col width="28" customWidth="1" style="11" min="7" max="7"/>
  </cols>
  <sheetData>
    <row r="1" ht="23.85" customHeight="1" s="12">
      <c r="A1" s="19" t="inlineStr">
        <is>
          <t>Date</t>
        </is>
      </c>
      <c r="B1" s="19" t="inlineStr">
        <is>
          <t>RegistryVersion</t>
        </is>
      </c>
      <c r="C1" s="19" t="inlineStr">
        <is>
          <t>ChangeType</t>
        </is>
      </c>
      <c r="D1" s="19" t="inlineStr">
        <is>
          <t>ConceptIDs / LinkIDs / LoopIDs</t>
        </is>
      </c>
      <c r="E1" s="19" t="inlineStr">
        <is>
          <t>Description &amp; rationale</t>
        </is>
      </c>
      <c r="F1" s="19" t="inlineStr">
        <is>
          <t>Author</t>
        </is>
      </c>
      <c r="G1" s="19" t="inlineStr">
        <is>
          <t>AffectedArtifacts</t>
        </is>
      </c>
    </row>
    <row r="2" ht="23.85" customHeight="1" s="12">
      <c r="A2" s="20" t="inlineStr">
        <is>
          <t>2026-07-02</t>
        </is>
      </c>
      <c r="B2" s="20" t="inlineStr">
        <is>
          <t>0.1</t>
        </is>
      </c>
      <c r="C2" s="20" t="inlineStr">
        <is>
          <t>add</t>
        </is>
      </c>
      <c r="D2" s="20" t="inlineStr">
        <is>
          <t>GEN-001..GEN-021, L01..L34, R1..R4, B1..B5</t>
        </is>
      </c>
      <c r="E2" s="20" t="inlineStr">
        <is>
          <t>Initial generic registry created from the FBMC-CLD alignment ontology (complete-canvas template, no use case)</t>
        </is>
      </c>
      <c r="F2" s="20" t="inlineStr">
        <is>
          <t>Hamza / Claude</t>
        </is>
      </c>
      <c r="G2" s="20" t="inlineStr">
        <is>
          <t>drawio p.4, Word doc §7-8</t>
        </is>
      </c>
    </row>
    <row r="3">
      <c r="A3" s="11" t="inlineStr">
        <is>
          <t>2026-07-02</t>
        </is>
      </c>
      <c r="B3" s="11" t="inlineStr">
        <is>
          <t>0.1</t>
        </is>
      </c>
      <c r="C3" s="11" t="inlineStr">
        <is>
          <t>add</t>
        </is>
      </c>
      <c r="D3" s="11" t="inlineStr">
        <is>
          <t>(Lists)</t>
        </is>
      </c>
      <c r="E3" s="11" t="inlineStr">
        <is>
          <t>Added ChangeType 'gate-approval' so human gate sign-offs are recorded distinctly from content changes (verifier finding #2)</t>
        </is>
      </c>
      <c r="F3" s="11" t="inlineStr">
        <is>
          <t>Claude (approved workflow, P1 session)</t>
        </is>
      </c>
      <c r="G3" s="11" t="inlineStr">
        <is>
          <t>registry Lists sheet</t>
        </is>
      </c>
    </row>
    <row r="4">
      <c r="A4" s="11" t="inlineStr">
        <is>
          <t>2026-07-02</t>
        </is>
      </c>
      <c r="B4" s="11" t="inlineStr">
        <is>
          <t>0.2</t>
        </is>
      </c>
      <c r="C4" s="11" t="inlineStr">
        <is>
          <t>add</t>
        </is>
      </c>
      <c r="D4" s="11" t="inlineStr">
        <is>
          <t>PV-001..PV-021</t>
        </is>
      </c>
      <c r="E4" s="11" t="inlineStr">
        <is>
          <t>P2 instantiation: 21 PV- rows for the SustainaSun CIRCULAR PV LEASING model (scope decision by Hamza at gate, 2026-07-02). Canonical names reconciled from v1 paper and v2 CLD (legacy names in Name_v1/Name_v2); structure remains defined over GEN links (instance rows are naming projections, marker: instantiates GEN-xxx).</t>
        </is>
      </c>
      <c r="F4" s="11" t="inlineStr">
        <is>
          <t>Hamza / Claude</t>
        </is>
      </c>
      <c r="G4" s="11" t="inlineStr">
        <is>
          <t>Concepts sheet; future CLD v3</t>
        </is>
      </c>
    </row>
    <row r="5">
      <c r="A5" s="11" t="inlineStr">
        <is>
          <t>2026-07-02</t>
        </is>
      </c>
      <c r="B5" s="11" t="inlineStr">
        <is>
          <t>0.2</t>
        </is>
      </c>
      <c r="C5" s="11" t="inlineStr">
        <is>
          <t>gate-approval</t>
        </is>
      </c>
      <c r="D5" s="11" t="inlineStr">
        <is>
          <t>PV-001..PV-021</t>
        </is>
      </c>
      <c r="E5" s="11" t="inlineStr">
        <is>
          <t>Gate: P2 scope question answered - circular PV leasing canvas selected over utility PPA. G5 expert review of names/definitions still pending.</t>
        </is>
      </c>
      <c r="F5" s="11" t="inlineStr">
        <is>
          <t>Hamza</t>
        </is>
      </c>
      <c r="G5" s="11" t="inlineStr">
        <is>
          <t>registry v0.2</t>
        </is>
      </c>
    </row>
  </sheetData>
  <dataValidations count="1">
    <dataValidation sqref="C2:C300" showDropDown="0" showInputMessage="0" showErrorMessage="0" allowBlank="1" type="list" errorStyle="stop" operator="between">
      <formula1>Lists!$F$2:$F$8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2026-07-02T12:57:59Z</dcterms:created>
  <dcterms:modified xmlns:dcterms="http://purl.org/dc/terms/" xmlns:xsi="http://www.w3.org/2001/XMLSchema-instance" xsi:type="dcterms:W3CDTF">2026-07-02T17:03:01Z</dcterms:modified>
  <cp:revision>0</cp:revision>
</cp:coreProperties>
</file>
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https://aaudk-my.sharepoint.com/personal/su04ib_id_aau_dk/Documents/PhD/Parathedsanalyse_ASJ/For vbn/"/>
    </mc:Choice>
  </mc:AlternateContent>
  <xr:revisionPtr revIDLastSave="0" documentId="8_{1A1D0414-B597-4490-81FA-922142F8E968}" xr6:coauthVersionLast="47" xr6:coauthVersionMax="47" xr10:uidLastSave="{00000000-0000-0000-0000-000000000000}"/>
  <bookViews>
    <workbookView xWindow="28680" yWindow="-3345" windowWidth="29040" windowHeight="15840" xr2:uid="{00000000-000D-0000-FFFF-FFFF00000000}"/>
  </bookViews>
  <sheets>
    <sheet name="Svarene #1" sheetId="1" r:id="rId1"/>
    <sheet name="Score #1" sheetId="8" r:id="rId2"/>
    <sheet name="1. Viden, kompetencer" sheetId="3" r:id="rId3"/>
    <sheet name="2. Kultur, mindset" sheetId="2" r:id="rId4"/>
    <sheet name="3. Værktøjer, mål, indikatorer" sheetId="4" r:id="rId5"/>
    <sheet name="4. Netværk" sheetId="5" r:id="rId6"/>
    <sheet name="5. B.samarbejde" sheetId="6" r:id="rId7"/>
    <sheet name="6. Åbenhed" sheetId="7" r:id="rId8"/>
    <sheet name="Svarene #2" sheetId="10" r:id="rId9"/>
    <sheet name="Score #2" sheetId="11" r:id="rId10"/>
    <sheet name="1. Viden, kompetencer #2" sheetId="12" r:id="rId11"/>
    <sheet name="2. Kultur, mindset #2" sheetId="13" r:id="rId12"/>
    <sheet name="3. Værktøjer, mål #2" sheetId="14" r:id="rId13"/>
    <sheet name="4. Netværk #2" sheetId="15" r:id="rId14"/>
    <sheet name="5. B.samarbejde #2" sheetId="16" r:id="rId15"/>
    <sheet name="6. Åbenhed #2" sheetId="17" r:id="rId16"/>
  </sheets>
  <definedNames>
    <definedName name="_xlnm.Print_Area" localSheetId="0">'Svarene #1'!$A$1:$L$27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1" l="1"/>
  <c r="B58" i="10" s="1"/>
  <c r="B46" i="1"/>
  <c r="C46" i="1"/>
  <c r="C42" i="10"/>
  <c r="C43" i="10"/>
  <c r="C45" i="10"/>
  <c r="C46" i="10"/>
  <c r="C47" i="10"/>
  <c r="C49" i="10"/>
  <c r="C50" i="10"/>
  <c r="C51" i="10"/>
  <c r="C53" i="10"/>
  <c r="C54" i="10"/>
  <c r="C55" i="10"/>
  <c r="C56" i="10"/>
  <c r="C58" i="10"/>
  <c r="C59" i="10"/>
  <c r="C61" i="10"/>
  <c r="C62" i="10"/>
  <c r="B22" i="10"/>
  <c r="B26" i="10" s="1"/>
  <c r="B13" i="10"/>
  <c r="B25" i="10" s="1"/>
  <c r="B13" i="1"/>
  <c r="B26" i="1" s="1"/>
  <c r="B22" i="1"/>
  <c r="B27" i="10" l="1"/>
  <c r="B27" i="1"/>
  <c r="B25" i="1" s="1"/>
  <c r="C39" i="1"/>
  <c r="D33" i="1"/>
  <c r="D34" i="1"/>
  <c r="B43" i="10" s="1"/>
  <c r="D35" i="1"/>
  <c r="B45" i="10" s="1"/>
  <c r="D36" i="1"/>
  <c r="B46" i="10" s="1"/>
  <c r="D37" i="1"/>
  <c r="B47" i="10" s="1"/>
  <c r="D38" i="1"/>
  <c r="B49" i="10" s="1"/>
  <c r="D39" i="1"/>
  <c r="B50" i="10" s="1"/>
  <c r="D40" i="1"/>
  <c r="B51" i="10" s="1"/>
  <c r="D42" i="1"/>
  <c r="B53" i="10" s="1"/>
  <c r="D43" i="1"/>
  <c r="B54" i="10" s="1"/>
  <c r="D44" i="1"/>
  <c r="B55" i="10" s="1"/>
  <c r="D45" i="1"/>
  <c r="B56" i="10" s="1"/>
  <c r="D47" i="1"/>
  <c r="B59" i="10" s="1"/>
  <c r="D48" i="1"/>
  <c r="B61" i="10" s="1"/>
  <c r="D49" i="1"/>
  <c r="B62" i="10" s="1"/>
  <c r="C34" i="1"/>
  <c r="C35" i="1"/>
  <c r="C36" i="1"/>
  <c r="C37" i="1"/>
  <c r="C38" i="1"/>
  <c r="C40" i="1"/>
  <c r="C42" i="1"/>
  <c r="C43" i="1"/>
  <c r="C44" i="1"/>
  <c r="C45" i="1"/>
  <c r="C47" i="1"/>
  <c r="C48" i="1"/>
  <c r="C49" i="1"/>
  <c r="C33" i="1"/>
  <c r="B34" i="1"/>
  <c r="B35" i="1"/>
  <c r="B36" i="1"/>
  <c r="B37" i="1"/>
  <c r="B38" i="1"/>
  <c r="B39" i="1"/>
  <c r="B40" i="1"/>
  <c r="B42" i="1"/>
  <c r="B43" i="1"/>
  <c r="B44" i="1"/>
  <c r="B45" i="1"/>
  <c r="B47" i="1"/>
  <c r="B48" i="1"/>
  <c r="B49" i="1"/>
  <c r="B33" i="1"/>
  <c r="B42" i="10" l="1"/>
</calcChain>
</file>

<file path=xl/sharedStrings.xml><?xml version="1.0" encoding="utf-8"?>
<sst xmlns="http://schemas.openxmlformats.org/spreadsheetml/2006/main" count="138" uniqueCount="85">
  <si>
    <t>Lowest score</t>
  </si>
  <si>
    <t>Highest score</t>
  </si>
  <si>
    <t>Average</t>
  </si>
  <si>
    <t>#1</t>
  </si>
  <si>
    <t>#3</t>
  </si>
  <si>
    <t>#4</t>
  </si>
  <si>
    <t>#5</t>
  </si>
  <si>
    <t>#2</t>
  </si>
  <si>
    <t>Plan for udvikling af viden og kompetencer</t>
  </si>
  <si>
    <t>Grønne omstilling som mulighed</t>
  </si>
  <si>
    <t>Ledelse og bestyrelse med fokus på bæredygtighed</t>
  </si>
  <si>
    <t>Strategi</t>
  </si>
  <si>
    <t>Fremadskuende kultur og mindset</t>
  </si>
  <si>
    <t>Værtøjer til effektvurdering</t>
  </si>
  <si>
    <t>Tydelige mål og KPIer</t>
  </si>
  <si>
    <t>Intern kommunikation</t>
  </si>
  <si>
    <t>Kontakter i branchen</t>
  </si>
  <si>
    <t>Kontakt i lokalområdet</t>
  </si>
  <si>
    <t>Kontakt til andre aktører</t>
  </si>
  <si>
    <t>Bæredygtighedsarbejde sammen med værdikæden</t>
  </si>
  <si>
    <t>Bæredygtighedsarbejde sammen med andre aktører</t>
  </si>
  <si>
    <t>Åbenhed for nye partnerskaber</t>
  </si>
  <si>
    <t>Åbenhed for at dele informationer</t>
  </si>
  <si>
    <r>
      <rPr>
        <sz val="9"/>
        <color rgb="FF212121"/>
        <rFont val="Times New Roman"/>
        <family val="1"/>
      </rPr>
      <t xml:space="preserve">9.       </t>
    </r>
    <r>
      <rPr>
        <sz val="9"/>
        <color rgb="FF212121"/>
        <rFont val="Calibri"/>
        <family val="2"/>
        <scheme val="minor"/>
      </rPr>
      <t>Vi er gode til intern kommunikation og erfaringsudveksling</t>
    </r>
  </si>
  <si>
    <r>
      <rPr>
        <sz val="9"/>
        <color rgb="FF212121"/>
        <rFont val="Times New Roman"/>
        <family val="1"/>
      </rPr>
      <t xml:space="preserve">10.       </t>
    </r>
    <r>
      <rPr>
        <sz val="9"/>
        <color rgb="FF212121"/>
        <rFont val="Calibri"/>
        <family val="2"/>
        <scheme val="minor"/>
      </rPr>
      <t>Vi har gode kontakter i vores branche udenfor vores egen værdikæde (f.eks. er vi del af brancheorganisationer)</t>
    </r>
  </si>
  <si>
    <r>
      <t>11.</t>
    </r>
    <r>
      <rPr>
        <sz val="9"/>
        <color rgb="FF212121"/>
        <rFont val="Times New Roman"/>
        <family val="1"/>
      </rPr>
      <t xml:space="preserve">       </t>
    </r>
    <r>
      <rPr>
        <sz val="9"/>
        <color rgb="FF212121"/>
        <rFont val="Calibri"/>
        <family val="2"/>
        <scheme val="minor"/>
      </rPr>
      <t>Vi har god kontakt til virksomheder og andre aktører i vores lokalområde (f.eks. igennem lokale erhvervsnetværk)</t>
    </r>
  </si>
  <si>
    <r>
      <t>12.</t>
    </r>
    <r>
      <rPr>
        <sz val="9"/>
        <color rgb="FF212121"/>
        <rFont val="Times New Roman"/>
        <family val="1"/>
      </rPr>
      <t xml:space="preserve">       </t>
    </r>
    <r>
      <rPr>
        <sz val="9"/>
        <color rgb="FF212121"/>
        <rFont val="Calibri"/>
        <family val="2"/>
        <scheme val="minor"/>
      </rPr>
      <t>Vi har god kontakt til andre aktører (regeringen, universiteter, samfundsorganisationer og civilsamfundet)</t>
    </r>
  </si>
  <si>
    <r>
      <rPr>
        <sz val="9"/>
        <color rgb="FF212121"/>
        <rFont val="Times New Roman"/>
        <family val="1"/>
      </rPr>
      <t xml:space="preserve">13.       </t>
    </r>
    <r>
      <rPr>
        <sz val="9"/>
        <color rgb="FF212121"/>
        <rFont val="Calibri"/>
        <family val="2"/>
        <scheme val="minor"/>
      </rPr>
      <t>Vi arbejder sammen med og/eller påvirker vores værdikæde (f.eks. kunder og leverandører) mht. bæredygtighed</t>
    </r>
  </si>
  <si>
    <r>
      <t>15.</t>
    </r>
    <r>
      <rPr>
        <sz val="9"/>
        <color rgb="FF212121"/>
        <rFont val="Times New Roman"/>
        <family val="1"/>
      </rPr>
      <t xml:space="preserve">       </t>
    </r>
    <r>
      <rPr>
        <sz val="9"/>
        <color rgb="FF212121"/>
        <rFont val="Calibri"/>
        <family val="2"/>
        <scheme val="minor"/>
      </rPr>
      <t>Vi er åbne for nye partnerskaber omkring bæredygtighed</t>
    </r>
  </si>
  <si>
    <r>
      <rPr>
        <sz val="9"/>
        <color rgb="FF212121"/>
        <rFont val="Times New Roman"/>
        <family val="1"/>
      </rPr>
      <t xml:space="preserve">16.      </t>
    </r>
    <r>
      <rPr>
        <sz val="9"/>
        <color rgb="FF212121"/>
        <rFont val="Calibri"/>
        <family val="2"/>
        <scheme val="minor"/>
      </rPr>
      <t>Vi er klar til at dele informationer omkring vores forretning (f.eks. mængden af inputs og affaldsmaterialer) med andre organisationer</t>
    </r>
  </si>
  <si>
    <t>Bæredygtighed</t>
  </si>
  <si>
    <t>Samarbejde</t>
  </si>
  <si>
    <t>Total</t>
  </si>
  <si>
    <t>Score</t>
  </si>
  <si>
    <t xml:space="preserve">1.       Vi har medarbejdere med viden om bæredygtig udvikling </t>
  </si>
  <si>
    <t>2.       Vi har en plan for at udvikle medarbejdernes viden og kompetencer mht. bæredygtighed og cirkulær økonomi</t>
  </si>
  <si>
    <t>3.       Vi anser den grønne omstilling for en mulighed frem for en trussel</t>
  </si>
  <si>
    <t>4.       Både vores ledelse og bestyrelse har fokus på bæredygtighed (f.eks. støtter de initiativer og projekter omkring bæredygtighed og allokerer ressourcer til dem)</t>
  </si>
  <si>
    <t>5.       Mindset og kultur i vores organisation er fremadskuende og klar til at følge med den grønne omstilling</t>
  </si>
  <si>
    <t>6.       Vi har værktøjer til at vurdere, hvilke effekter vores forretningsbeslutninger har på miljøet og samfundet</t>
  </si>
  <si>
    <t>7.       Vores organisation har en klar strategi for at arbejde med bæredygtighed</t>
  </si>
  <si>
    <t>8.       Vi har sat tydelige mål mht. bæredygtighed og bruger data og KPIer til at vurdere vores fremskridt</t>
  </si>
  <si>
    <t>Medarbejdere med viden om bæredygtig udvikling</t>
  </si>
  <si>
    <r>
      <rPr>
        <sz val="9"/>
        <color rgb="FF212121"/>
        <rFont val="Times New Roman"/>
        <family val="1"/>
      </rPr>
      <t xml:space="preserve">14.    </t>
    </r>
    <r>
      <rPr>
        <sz val="9"/>
        <color rgb="FF212121"/>
        <rFont val="Calibri"/>
        <family val="2"/>
        <scheme val="minor"/>
      </rPr>
      <t>Vi har allerede samarbejdet omkring bæredygtighed med aktørerne nævnt i spørgsmål 10-12 (f.eks. for at muliggøre cirkulære forretningsaktiviteter)</t>
    </r>
  </si>
  <si>
    <t>-&gt; indsæt værdien på side 2 i parathedsrapporten, linje 2</t>
  </si>
  <si>
    <t>-&gt; indsæt værdien på side 2 i parathedsrapporten, linje 3</t>
  </si>
  <si>
    <t>-&gt; indsæt værdien på side 2 i parathedsrapporten, linje 4</t>
  </si>
  <si>
    <t>Bruges udelukkende for at automatisk generere grafikker i de andre ark.</t>
  </si>
  <si>
    <t>[indsæt medarbejders navn/titel]</t>
  </si>
  <si>
    <t>Respondents:</t>
  </si>
  <si>
    <t>Questions / Positions:</t>
  </si>
  <si>
    <t>Sæt virksomheds svar på spørgeskemaet #2 ind i tabellen nedenfor (0 - ved ikke/slet ikke, 1 - i mindre grad, 2 - i noget grad, 3 - i høj grad, 4 - i meget høj grad).</t>
  </si>
  <si>
    <t>Sæt virksomheds svar på spørgeskemaet #1 ind i tabellen nedenfor (0 - ved ikke/slet ikke, 1 - i mindre grad, 2 - i noget grad, 3 - i høj grad, 4 - i meget høj grad).</t>
  </si>
  <si>
    <t>Før</t>
  </si>
  <si>
    <t>Nu</t>
  </si>
  <si>
    <t>Kopier figuren til side 4 i parathedsrapporten (D. Skabelon-Rapport-1).</t>
  </si>
  <si>
    <t>Kopier figuren til side 5 i parathedsrapporten (D. Skabelon-Rapport-1).</t>
  </si>
  <si>
    <t>Kopier figuren til side 6 i parathedsrapporten (D. Skabelon-Rapport-1).</t>
  </si>
  <si>
    <t>Kopier figuren til side 7 i parathedsrapporten (D. Skabelon-Rapport-1).</t>
  </si>
  <si>
    <t>Kopier figuren til side 8 i parathedsrapporten (D. Skabelon-Rapport-1).</t>
  </si>
  <si>
    <t>Kopier figuren til side 9 i parathedsrapporten (D. Skabelon-Rapport-1).</t>
  </si>
  <si>
    <t>Kopier figuren til side 2 i parathedsrapporten (D. Skabelon-Rapport-1).</t>
  </si>
  <si>
    <t>Kopier figuren til side 2 i parathedsrapporten #2 (E. Skabelon-Rapport-2).</t>
  </si>
  <si>
    <t>Kopier figuren til side 4 i parathedsrapporten #2 (E. Skabelon-Rapport-2).</t>
  </si>
  <si>
    <t>Kopier figuren til side 5 i parathedsrapporten #2 (E. Skabelon-Rapport-2).</t>
  </si>
  <si>
    <t>Kopier figuren til side 6 i parathedsrapporten #2 (E. Skabelon-Rapport-2).</t>
  </si>
  <si>
    <t>Kopier figuren til side 7 i parathedsrapporten #2 (E. Skabelon-Rapport-2).</t>
  </si>
  <si>
    <t>Kopier figuren til side 8 i parathedsrapporten #2 (E. Skabelon-Rapport-2).</t>
  </si>
  <si>
    <t>Kopier figuren til side 9 i parathedsrapporten #2 (E. Skabelon-Rapport-2).</t>
  </si>
  <si>
    <t>-&gt; indsæt værdien på side 2 i parathedsrapporten #2 (E. Skabelon-Rapport-2), linje 2</t>
  </si>
  <si>
    <t>-&gt; indsæt værdien på side 2 i parathedsrapporten #2 (E. Skabelon-Rapport-2), linje 4</t>
  </si>
  <si>
    <t>-&gt; indsæt værdien på side 2 i parathedsrapporten #2 (E. Skabelon-Rapport-2), linje 5</t>
  </si>
  <si>
    <t>9.       Vi er gode til intern kommunikation og erfaringsudveksling</t>
  </si>
  <si>
    <t>10.       Vi har gode kontakter i vores branche udenfor vores egen værdikæde (f.eks. er vi del af brancheorganisationer)</t>
  </si>
  <si>
    <t>11.       Vi har god kontakt til virksomheder og andre aktører i vores lokalområde (f.eks. igennem lokale erhvervsnetværk)</t>
  </si>
  <si>
    <t>12.       Vi har god kontakt til andre aktører (regeringen, universiteter, samfundsorganisationer og civilsamfundet)</t>
  </si>
  <si>
    <t>13.       Vi arbejder sammen med og/eller påvirker vores værdikæde (f.eks. kunder og leverandører) mht. bæredygtighed</t>
  </si>
  <si>
    <t>14.    Vi har allerede samarbejdet omkring bæredygtighed med aktørerne nævnt i spørgsmål 10-12 (f.eks. for at muliggøre cirkulære forretningsaktiviteter)</t>
  </si>
  <si>
    <t>15.       Vi er åbne for nye partnerskaber omkring bæredygtighed</t>
  </si>
  <si>
    <t>16.      Vi er klar til at dele informationer omkring vores forretning (f.eks. mængden af inputs og affaldsmaterialer) med andre organisationer</t>
  </si>
  <si>
    <t>gul</t>
  </si>
  <si>
    <t>skal redigeres</t>
  </si>
  <si>
    <t>orange</t>
  </si>
  <si>
    <t>anvisninger</t>
  </si>
  <si>
    <t>Forklaring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</si>
</sst>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212121"/>
      <name val="Calibri"/>
      <family val="2"/>
      <scheme val="minor"/>
    </font>
    <font>
      <sz val="9"/>
      <color rgb="FF212121"/>
      <name val="Times New Roman"/>
      <family val="1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4" tint="-0.499984740745262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6"/>
      <color theme="4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u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8" fillId="3" borderId="4" xfId="0" applyFont="1" applyFill="1" applyBorder="1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1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/>
    <xf numFmtId="1" fontId="11" fillId="2" borderId="1" xfId="0" applyNumberFormat="1" applyFont="1" applyFill="1" applyBorder="1"/>
    <xf numFmtId="0" fontId="0" fillId="4" borderId="0" xfId="0" applyFill="1"/>
    <xf numFmtId="0" fontId="5" fillId="4" borderId="0" xfId="0" applyFont="1" applyFill="1"/>
    <xf numFmtId="0" fontId="0" fillId="4" borderId="0" xfId="0" applyFill="1" applyAlignment="1">
      <alignment wrapText="1"/>
    </xf>
    <xf numFmtId="0" fontId="1" fillId="4" borderId="0" xfId="0" applyFont="1" applyFill="1"/>
    <xf numFmtId="0" fontId="1" fillId="4" borderId="0" xfId="0" applyFont="1" applyFill="1" applyBorder="1"/>
    <xf numFmtId="0" fontId="5" fillId="4" borderId="0" xfId="0" applyFont="1" applyFill="1" applyBorder="1"/>
    <xf numFmtId="0" fontId="1" fillId="4" borderId="0" xfId="0" applyFont="1" applyFill="1" applyBorder="1" applyAlignment="1">
      <alignment wrapText="1"/>
    </xf>
    <xf numFmtId="164" fontId="1" fillId="4" borderId="0" xfId="0" applyNumberFormat="1" applyFont="1" applyFill="1" applyBorder="1"/>
    <xf numFmtId="164" fontId="6" fillId="4" borderId="0" xfId="0" applyNumberFormat="1" applyFont="1" applyFill="1" applyAlignment="1">
      <alignment horizontal="center"/>
    </xf>
    <xf numFmtId="0" fontId="1" fillId="2" borderId="10" xfId="0" applyFont="1" applyFill="1" applyBorder="1"/>
    <xf numFmtId="0" fontId="1" fillId="2" borderId="2" xfId="0" applyFont="1" applyFill="1" applyBorder="1"/>
    <xf numFmtId="0" fontId="1" fillId="2" borderId="9" xfId="0" applyFont="1" applyFill="1" applyBorder="1"/>
    <xf numFmtId="0" fontId="1" fillId="2" borderId="3" xfId="0" applyFont="1" applyFill="1" applyBorder="1"/>
    <xf numFmtId="0" fontId="7" fillId="2" borderId="11" xfId="0" applyFont="1" applyFill="1" applyBorder="1"/>
    <xf numFmtId="0" fontId="2" fillId="2" borderId="12" xfId="0" applyFont="1" applyFill="1" applyBorder="1" applyAlignment="1">
      <alignment horizontal="left" vertical="center" wrapText="1" indent="1"/>
    </xf>
    <xf numFmtId="0" fontId="3" fillId="2" borderId="12" xfId="0" applyFont="1" applyFill="1" applyBorder="1" applyAlignment="1">
      <alignment horizontal="left" vertical="center" wrapText="1" indent="1"/>
    </xf>
    <xf numFmtId="0" fontId="3" fillId="2" borderId="13" xfId="0" applyFont="1" applyFill="1" applyBorder="1" applyAlignment="1">
      <alignment horizontal="left" vertical="center" wrapText="1" indent="1"/>
    </xf>
    <xf numFmtId="0" fontId="0" fillId="2" borderId="17" xfId="0" applyFont="1" applyFill="1" applyBorder="1" applyAlignment="1">
      <alignment wrapText="1"/>
    </xf>
    <xf numFmtId="0" fontId="0" fillId="2" borderId="0" xfId="0" applyFont="1" applyFill="1" applyBorder="1"/>
    <xf numFmtId="0" fontId="0" fillId="2" borderId="18" xfId="0" applyFont="1" applyFill="1" applyBorder="1"/>
    <xf numFmtId="0" fontId="0" fillId="2" borderId="4" xfId="0" applyFont="1" applyFill="1" applyBorder="1" applyAlignment="1">
      <alignment wrapText="1"/>
    </xf>
    <xf numFmtId="0" fontId="0" fillId="2" borderId="1" xfId="0" applyFont="1" applyFill="1" applyBorder="1"/>
    <xf numFmtId="164" fontId="0" fillId="2" borderId="5" xfId="0" applyNumberFormat="1" applyFont="1" applyFill="1" applyBorder="1"/>
    <xf numFmtId="0" fontId="0" fillId="2" borderId="6" xfId="0" applyFont="1" applyFill="1" applyBorder="1" applyAlignment="1">
      <alignment wrapText="1"/>
    </xf>
    <xf numFmtId="0" fontId="0" fillId="2" borderId="8" xfId="0" applyFont="1" applyFill="1" applyBorder="1"/>
    <xf numFmtId="164" fontId="0" fillId="2" borderId="7" xfId="0" applyNumberFormat="1" applyFont="1" applyFill="1" applyBorder="1"/>
    <xf numFmtId="0" fontId="1" fillId="5" borderId="10" xfId="0" applyFont="1" applyFill="1" applyBorder="1"/>
    <xf numFmtId="0" fontId="1" fillId="5" borderId="2" xfId="0" applyFont="1" applyFill="1" applyBorder="1"/>
    <xf numFmtId="0" fontId="1" fillId="5" borderId="9" xfId="0" applyFont="1" applyFill="1" applyBorder="1"/>
    <xf numFmtId="0" fontId="1" fillId="5" borderId="3" xfId="0" applyFont="1" applyFill="1" applyBorder="1"/>
    <xf numFmtId="0" fontId="7" fillId="5" borderId="11" xfId="0" applyFont="1" applyFill="1" applyBorder="1"/>
    <xf numFmtId="0" fontId="3" fillId="5" borderId="12" xfId="0" applyFont="1" applyFill="1" applyBorder="1" applyAlignment="1">
      <alignment horizontal="left" vertical="center" wrapText="1" indent="1"/>
    </xf>
    <xf numFmtId="0" fontId="1" fillId="4" borderId="0" xfId="0" applyFont="1" applyFill="1" applyAlignment="1">
      <alignment wrapText="1"/>
    </xf>
    <xf numFmtId="0" fontId="0" fillId="3" borderId="5" xfId="0" applyFill="1" applyBorder="1" applyAlignment="1">
      <alignment horizontal="center" vertical="center"/>
    </xf>
    <xf numFmtId="0" fontId="11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/>
    <xf numFmtId="1" fontId="11" fillId="5" borderId="1" xfId="0" applyNumberFormat="1" applyFont="1" applyFill="1" applyBorder="1"/>
    <xf numFmtId="164" fontId="1" fillId="4" borderId="0" xfId="0" applyNumberFormat="1" applyFont="1" applyFill="1"/>
    <xf numFmtId="0" fontId="0" fillId="4" borderId="0" xfId="0" applyFill="1" applyBorder="1"/>
    <xf numFmtId="164" fontId="0" fillId="4" borderId="0" xfId="0" applyNumberFormat="1" applyFill="1" applyBorder="1"/>
    <xf numFmtId="0" fontId="1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164" fontId="0" fillId="5" borderId="1" xfId="0" applyNumberForma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left" vertical="center" wrapText="1"/>
    </xf>
    <xf numFmtId="0" fontId="3" fillId="5" borderId="12" xfId="0" applyFont="1" applyFill="1" applyBorder="1" applyAlignment="1">
      <alignment horizontal="left" vertical="center" wrapText="1"/>
    </xf>
    <xf numFmtId="0" fontId="3" fillId="5" borderId="13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1" fontId="9" fillId="2" borderId="14" xfId="0" applyNumberFormat="1" applyFont="1" applyFill="1" applyBorder="1" applyAlignment="1">
      <alignment horizontal="center" vertical="center" wrapText="1"/>
    </xf>
    <xf numFmtId="1" fontId="9" fillId="2" borderId="15" xfId="0" applyNumberFormat="1" applyFont="1" applyFill="1" applyBorder="1" applyAlignment="1">
      <alignment horizontal="center" vertical="center" wrapText="1"/>
    </xf>
    <xf numFmtId="1" fontId="9" fillId="2" borderId="16" xfId="0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wrapText="1"/>
    </xf>
    <xf numFmtId="0" fontId="9" fillId="5" borderId="14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12" fillId="6" borderId="0" xfId="0" applyFont="1" applyFill="1"/>
    <xf numFmtId="0" fontId="13" fillId="6" borderId="0" xfId="0" applyFont="1" applyFill="1"/>
    <xf numFmtId="0" fontId="13" fillId="6" borderId="0" xfId="0" applyFont="1" applyFill="1" applyAlignment="1">
      <alignment wrapText="1"/>
    </xf>
    <xf numFmtId="0" fontId="0" fillId="6" borderId="0" xfId="0" applyFill="1"/>
    <xf numFmtId="0" fontId="10" fillId="6" borderId="19" xfId="0" quotePrefix="1" applyFont="1" applyFill="1" applyBorder="1" applyAlignment="1">
      <alignment horizontal="left" wrapText="1"/>
    </xf>
    <xf numFmtId="0" fontId="10" fillId="6" borderId="0" xfId="0" quotePrefix="1" applyFont="1" applyFill="1" applyBorder="1" applyAlignment="1">
      <alignment horizontal="left" wrapText="1"/>
    </xf>
    <xf numFmtId="0" fontId="0" fillId="3" borderId="1" xfId="0" applyFill="1" applyBorder="1" applyAlignment="1">
      <alignment wrapText="1"/>
    </xf>
    <xf numFmtId="0" fontId="0" fillId="6" borderId="1" xfId="0" applyFill="1" applyBorder="1"/>
    <xf numFmtId="0" fontId="10" fillId="6" borderId="19" xfId="0" quotePrefix="1" applyFont="1" applyFill="1" applyBorder="1" applyAlignment="1">
      <alignment horizontal="center" wrapText="1"/>
    </xf>
    <xf numFmtId="0" fontId="10" fillId="6" borderId="0" xfId="0" quotePrefix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9"/>
      <color rgb="FFD0E5C1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strRef>
              <c:f>'Svarene #1'!$B$24</c:f>
              <c:strCache>
                <c:ptCount val="1"/>
                <c:pt idx="0">
                  <c:v>Score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10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C4-49FA-B2FD-FB149C6D69EE}"/>
              </c:ext>
            </c:extLst>
          </c:dPt>
          <c:xVal>
            <c:numRef>
              <c:f>'Svarene #1'!$B$27</c:f>
              <c:numCache>
                <c:formatCode>0</c:formatCode>
                <c:ptCount val="1"/>
                <c:pt idx="0">
                  <c:v>18.600000000000001</c:v>
                </c:pt>
              </c:numCache>
            </c:numRef>
          </c:xVal>
          <c:yVal>
            <c:numRef>
              <c:f>'Svarene #1'!$B$26</c:f>
              <c:numCache>
                <c:formatCode>0</c:formatCode>
                <c:ptCount val="1"/>
                <c:pt idx="0">
                  <c:v>18.599999999999998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1F6-4147-8CCB-81D8E6E46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395080"/>
        <c:axId val="571393440"/>
      </c:scatterChart>
      <c:valAx>
        <c:axId val="571395080"/>
        <c:scaling>
          <c:orientation val="minMax"/>
          <c:max val="3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Samarbejdsmodenhed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393440"/>
        <c:crosses val="autoZero"/>
        <c:crossBetween val="midCat"/>
      </c:valAx>
      <c:valAx>
        <c:axId val="571393440"/>
        <c:scaling>
          <c:orientation val="minMax"/>
          <c:max val="32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Bæredygtighedsledelse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395080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935785915945907E-2"/>
          <c:y val="4.9717514124293788E-2"/>
          <c:w val="0.93906462432524085"/>
          <c:h val="0.81838053294185686"/>
        </c:manualLayout>
      </c:layout>
      <c:stockChart>
        <c:ser>
          <c:idx val="0"/>
          <c:order val="0"/>
          <c:spPr>
            <a:ln w="19050">
              <a:noFill/>
            </a:ln>
          </c:spPr>
          <c:marker>
            <c:symbol val="none"/>
          </c:marker>
          <c:cat>
            <c:strRef>
              <c:f>'Svarene #1'!$A$33:$A$34</c:f>
              <c:strCache>
                <c:ptCount val="2"/>
                <c:pt idx="0">
                  <c:v>Medarbejdere med viden om bæredygtig udvikling</c:v>
                </c:pt>
                <c:pt idx="1">
                  <c:v>Plan for udvikling af viden og kompetencer</c:v>
                </c:pt>
              </c:strCache>
            </c:strRef>
          </c:cat>
          <c:val>
            <c:numRef>
              <c:f>'Svarene #1'!$B$33:$B$34</c:f>
              <c:numCache>
                <c:formatCode>General</c:formatCode>
                <c:ptCount val="2"/>
                <c:pt idx="0">
                  <c:v>4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967-409F-B014-76165041DD49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none"/>
          </c:marker>
          <c:cat>
            <c:strRef>
              <c:f>'Svarene #1'!$A$33:$A$34</c:f>
              <c:strCache>
                <c:ptCount val="2"/>
                <c:pt idx="0">
                  <c:v>Medarbejdere med viden om bæredygtig udvikling</c:v>
                </c:pt>
                <c:pt idx="1">
                  <c:v>Plan for udvikling af viden og kompetencer</c:v>
                </c:pt>
              </c:strCache>
            </c:strRef>
          </c:cat>
          <c:val>
            <c:numRef>
              <c:f>'Svarene #1'!$C$33:$C$34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967-409F-B014-76165041DD49}"/>
            </c:ext>
          </c:extLst>
        </c:ser>
        <c:ser>
          <c:idx val="2"/>
          <c:order val="2"/>
          <c:spPr>
            <a:ln w="19050">
              <a:noFill/>
            </a:ln>
          </c:spPr>
          <c:marker>
            <c:symbol val="x"/>
            <c:size val="9"/>
            <c:spPr>
              <a:solidFill>
                <a:srgbClr val="FF0000"/>
              </a:solidFill>
              <a:ln>
                <a:noFill/>
              </a:ln>
            </c:spPr>
          </c:marker>
          <c:cat>
            <c:strRef>
              <c:f>'Svarene #1'!$A$33:$A$34</c:f>
              <c:strCache>
                <c:ptCount val="2"/>
                <c:pt idx="0">
                  <c:v>Medarbejdere med viden om bæredygtig udvikling</c:v>
                </c:pt>
                <c:pt idx="1">
                  <c:v>Plan for udvikling af viden og kompetencer</c:v>
                </c:pt>
              </c:strCache>
            </c:strRef>
          </c:cat>
          <c:val>
            <c:numRef>
              <c:f>'Svarene #1'!$D$33:$D$34</c:f>
              <c:numCache>
                <c:formatCode>0.0</c:formatCode>
                <c:ptCount val="2"/>
                <c:pt idx="0">
                  <c:v>3.2</c:v>
                </c:pt>
                <c:pt idx="1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967-409F-B014-76165041DD49}"/>
            </c:ext>
          </c:extLst>
        </c:ser>
        <c:ser>
          <c:idx val="3"/>
          <c:order val="3"/>
          <c:tx>
            <c:strRef>
              <c:f>'Svarene #1'!$D$33:$D$34</c:f>
              <c:strCache>
                <c:ptCount val="2"/>
                <c:pt idx="0">
                  <c:v>3.2</c:v>
                </c:pt>
                <c:pt idx="1">
                  <c:v>1.8</c:v>
                </c:pt>
              </c:strCache>
            </c:strRef>
          </c:tx>
          <c:spPr>
            <a:ln w="19050">
              <a:noFill/>
            </a:ln>
          </c:spPr>
          <c:marker>
            <c:symbol val="x"/>
            <c:size val="9"/>
            <c:spPr>
              <a:solidFill>
                <a:srgbClr val="FF0000"/>
              </a:solidFill>
              <a:ln>
                <a:noFill/>
              </a:ln>
            </c:spPr>
          </c:marker>
          <c:val>
            <c:numRef>
              <c:f>'Svarene #1'!$D$33:$D$34</c:f>
              <c:numCache>
                <c:formatCode>0.0</c:formatCode>
                <c:ptCount val="2"/>
                <c:pt idx="0">
                  <c:v>3.2</c:v>
                </c:pt>
                <c:pt idx="1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967-409F-B014-76165041D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22225" cap="sq" cmpd="sng" algn="ctr">
              <a:solidFill>
                <a:schemeClr val="tx1">
                  <a:lumMod val="50000"/>
                  <a:lumOff val="50000"/>
                </a:schemeClr>
              </a:solidFill>
              <a:prstDash val="sysDash"/>
              <a:miter lim="800000"/>
              <a:headEnd type="oval" w="sm" len="sm"/>
              <a:tailEnd type="oval" w="sm" len="sm"/>
            </a:ln>
            <a:effectLst/>
          </c:spPr>
        </c:hiLowLines>
        <c:axId val="457864960"/>
        <c:axId val="457863976"/>
      </c:stockChart>
      <c:catAx>
        <c:axId val="45786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63976"/>
        <c:crosses val="autoZero"/>
        <c:auto val="1"/>
        <c:lblAlgn val="ctr"/>
        <c:lblOffset val="100"/>
        <c:noMultiLvlLbl val="0"/>
      </c:catAx>
      <c:valAx>
        <c:axId val="457863976"/>
        <c:scaling>
          <c:orientation val="minMax"/>
          <c:max val="4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64960"/>
        <c:crosses val="autoZero"/>
        <c:crossBetween val="between"/>
        <c:majorUnit val="1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935785915945907E-2"/>
          <c:y val="4.9717514124293788E-2"/>
          <c:w val="0.93906462432524085"/>
          <c:h val="0.81838053294185686"/>
        </c:manualLayout>
      </c:layout>
      <c:stockChart>
        <c:ser>
          <c:idx val="4"/>
          <c:order val="0"/>
          <c:spPr>
            <a:ln w="19050">
              <a:noFill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'Svarene #1'!$A$35:$A$38</c15:sqref>
                  </c15:fullRef>
                </c:ext>
              </c:extLst>
              <c:f>'Svarene #1'!$A$35:$A$37</c:f>
              <c:strCache>
                <c:ptCount val="3"/>
                <c:pt idx="0">
                  <c:v>Grønne omstilling som mulighed</c:v>
                </c:pt>
                <c:pt idx="1">
                  <c:v>Ledelse og bestyrelse med fokus på bæredygtighed</c:v>
                </c:pt>
                <c:pt idx="2">
                  <c:v>Fremadskuende kultur og mindset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'Svarene #1'!$C$35:$C$38</c15:sqref>
                  </c15:fullRef>
                </c:ext>
              </c:extLst>
              <c:f>'Svarene #1'!$C$35:$C$37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76D-4DF0-BB40-9B4BAF34C15D}"/>
            </c:ext>
          </c:extLst>
        </c:ser>
        <c:ser>
          <c:idx val="0"/>
          <c:order val="1"/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'Svarene #1'!$A$35:$A$38</c15:sqref>
                  </c15:fullRef>
                </c:ext>
              </c:extLst>
              <c:f>'Svarene #1'!$A$35:$A$37</c:f>
              <c:strCache>
                <c:ptCount val="3"/>
                <c:pt idx="0">
                  <c:v>Grønne omstilling som mulighed</c:v>
                </c:pt>
                <c:pt idx="1">
                  <c:v>Ledelse og bestyrelse med fokus på bæredygtighed</c:v>
                </c:pt>
                <c:pt idx="2">
                  <c:v>Fremadskuende kultur og mindset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'Svarene #1'!$B$35:$B$38</c15:sqref>
                  </c15:fullRef>
                </c:ext>
              </c:extLst>
              <c:f>'Svarene #1'!$B$35:$B$37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76D-4DF0-BB40-9B4BAF34C15D}"/>
            </c:ext>
          </c:extLst>
        </c:ser>
        <c:ser>
          <c:idx val="1"/>
          <c:order val="2"/>
          <c:spPr>
            <a:ln w="19050">
              <a:noFill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'Svarene #1'!$A$35:$A$38</c15:sqref>
                  </c15:fullRef>
                </c:ext>
              </c:extLst>
              <c:f>'Svarene #1'!$A$35:$A$37</c:f>
              <c:strCache>
                <c:ptCount val="3"/>
                <c:pt idx="0">
                  <c:v>Grønne omstilling som mulighed</c:v>
                </c:pt>
                <c:pt idx="1">
                  <c:v>Ledelse og bestyrelse med fokus på bæredygtighed</c:v>
                </c:pt>
                <c:pt idx="2">
                  <c:v>Fremadskuende kultur og mindset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'Svarene #1'!$C$35:$C$38</c15:sqref>
                  </c15:fullRef>
                </c:ext>
              </c:extLst>
              <c:f>'Svarene #1'!$C$35:$C$37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76D-4DF0-BB40-9B4BAF34C15D}"/>
            </c:ext>
          </c:extLst>
        </c:ser>
        <c:ser>
          <c:idx val="2"/>
          <c:order val="3"/>
          <c:spPr>
            <a:ln w="19050">
              <a:noFill/>
            </a:ln>
          </c:spPr>
          <c:marker>
            <c:symbol val="square"/>
            <c:size val="8"/>
            <c:spPr>
              <a:solidFill>
                <a:srgbClr val="FF0000"/>
              </a:solidFill>
              <a:ln>
                <a:noFill/>
              </a:ln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'Svarene #1'!$A$35:$A$38</c15:sqref>
                  </c15:fullRef>
                </c:ext>
              </c:extLst>
              <c:f>'Svarene #1'!$A$35:$A$37</c:f>
              <c:strCache>
                <c:ptCount val="3"/>
                <c:pt idx="0">
                  <c:v>Grønne omstilling som mulighed</c:v>
                </c:pt>
                <c:pt idx="1">
                  <c:v>Ledelse og bestyrelse med fokus på bæredygtighed</c:v>
                </c:pt>
                <c:pt idx="2">
                  <c:v>Fremadskuende kultur og mindset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'Svarene #1'!$D$35:$D$38</c15:sqref>
                  </c15:fullRef>
                </c:ext>
              </c:extLst>
              <c:f>'Svarene #1'!$D$35:$D$37</c:f>
              <c:numCache>
                <c:formatCode>0.0</c:formatCode>
                <c:ptCount val="3"/>
                <c:pt idx="0">
                  <c:v>2.8</c:v>
                </c:pt>
                <c:pt idx="1">
                  <c:v>2.6</c:v>
                </c:pt>
                <c:pt idx="2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76D-4DF0-BB40-9B4BAF34C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22225" cap="sq" cmpd="sng" algn="ctr">
              <a:solidFill>
                <a:schemeClr val="tx1">
                  <a:lumMod val="50000"/>
                  <a:lumOff val="50000"/>
                </a:schemeClr>
              </a:solidFill>
              <a:prstDash val="sysDash"/>
              <a:miter lim="800000"/>
              <a:headEnd type="oval" w="sm" len="sm"/>
              <a:tailEnd type="oval" w="sm" len="sm"/>
            </a:ln>
            <a:effectLst/>
          </c:spPr>
        </c:hiLowLines>
        <c:axId val="457864960"/>
        <c:axId val="457863976"/>
      </c:stockChart>
      <c:catAx>
        <c:axId val="45786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63976"/>
        <c:crosses val="autoZero"/>
        <c:auto val="1"/>
        <c:lblAlgn val="ctr"/>
        <c:lblOffset val="100"/>
        <c:noMultiLvlLbl val="0"/>
      </c:catAx>
      <c:valAx>
        <c:axId val="457863976"/>
        <c:scaling>
          <c:orientation val="minMax"/>
          <c:max val="4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64960"/>
        <c:crosses val="autoZero"/>
        <c:crossBetween val="between"/>
        <c:majorUnit val="1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935785915945907E-2"/>
          <c:y val="4.9717514124293788E-2"/>
          <c:w val="0.93906462432524085"/>
          <c:h val="0.81838053294185686"/>
        </c:manualLayout>
      </c:layout>
      <c:stockChart>
        <c:ser>
          <c:idx val="0"/>
          <c:order val="0"/>
          <c:spPr>
            <a:ln w="19050">
              <a:noFill/>
            </a:ln>
          </c:spPr>
          <c:marker>
            <c:symbol val="none"/>
          </c:marker>
          <c:cat>
            <c:strRef>
              <c:f>'Svarene #1'!$A$38:$A$40</c:f>
              <c:strCache>
                <c:ptCount val="3"/>
                <c:pt idx="0">
                  <c:v>Værtøjer til effektvurdering</c:v>
                </c:pt>
                <c:pt idx="1">
                  <c:v>Strategi</c:v>
                </c:pt>
                <c:pt idx="2">
                  <c:v>Tydelige mål og KPIer</c:v>
                </c:pt>
              </c:strCache>
            </c:strRef>
          </c:cat>
          <c:val>
            <c:numRef>
              <c:f>'Svarene #1'!$B$38:$B$40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16-4319-AC02-F53DD30BDD3B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none"/>
          </c:marker>
          <c:cat>
            <c:strRef>
              <c:f>'Svarene #1'!$A$38:$A$40</c:f>
              <c:strCache>
                <c:ptCount val="3"/>
                <c:pt idx="0">
                  <c:v>Værtøjer til effektvurdering</c:v>
                </c:pt>
                <c:pt idx="1">
                  <c:v>Strategi</c:v>
                </c:pt>
                <c:pt idx="2">
                  <c:v>Tydelige mål og KPIer</c:v>
                </c:pt>
              </c:strCache>
            </c:strRef>
          </c:cat>
          <c:val>
            <c:numRef>
              <c:f>'Svarene #1'!$C$38:$C$40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216-4319-AC02-F53DD30BDD3B}"/>
            </c:ext>
          </c:extLst>
        </c:ser>
        <c:ser>
          <c:idx val="2"/>
          <c:order val="2"/>
          <c:spPr>
            <a:ln w="19050">
              <a:noFill/>
            </a:ln>
          </c:spPr>
          <c:marker>
            <c:symbol val="square"/>
            <c:size val="9"/>
            <c:spPr>
              <a:solidFill>
                <a:srgbClr val="FF0000"/>
              </a:solidFill>
              <a:ln>
                <a:noFill/>
              </a:ln>
            </c:spPr>
          </c:marker>
          <c:cat>
            <c:strRef>
              <c:f>'Svarene #1'!$A$38:$A$40</c:f>
              <c:strCache>
                <c:ptCount val="3"/>
                <c:pt idx="0">
                  <c:v>Værtøjer til effektvurdering</c:v>
                </c:pt>
                <c:pt idx="1">
                  <c:v>Strategi</c:v>
                </c:pt>
                <c:pt idx="2">
                  <c:v>Tydelige mål og KPIer</c:v>
                </c:pt>
              </c:strCache>
            </c:strRef>
          </c:cat>
          <c:val>
            <c:numRef>
              <c:f>'Svarene #1'!$D$38:$D$40</c:f>
              <c:numCache>
                <c:formatCode>0.0</c:formatCode>
                <c:ptCount val="3"/>
                <c:pt idx="0">
                  <c:v>1.4</c:v>
                </c:pt>
                <c:pt idx="1">
                  <c:v>2.8</c:v>
                </c:pt>
                <c:pt idx="2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216-4319-AC02-F53DD30BD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22225" cap="sq" cmpd="sng" algn="ctr">
              <a:solidFill>
                <a:schemeClr val="tx1">
                  <a:lumMod val="50000"/>
                  <a:lumOff val="50000"/>
                </a:schemeClr>
              </a:solidFill>
              <a:prstDash val="sysDash"/>
              <a:miter lim="800000"/>
              <a:headEnd type="oval" w="sm" len="sm"/>
              <a:tailEnd type="oval" w="sm" len="sm"/>
            </a:ln>
            <a:effectLst/>
          </c:spPr>
        </c:hiLowLines>
        <c:axId val="457864960"/>
        <c:axId val="457863976"/>
      </c:stockChart>
      <c:catAx>
        <c:axId val="45786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63976"/>
        <c:crosses val="autoZero"/>
        <c:auto val="1"/>
        <c:lblAlgn val="ctr"/>
        <c:lblOffset val="100"/>
        <c:noMultiLvlLbl val="0"/>
      </c:catAx>
      <c:valAx>
        <c:axId val="457863976"/>
        <c:scaling>
          <c:orientation val="minMax"/>
          <c:max val="4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64960"/>
        <c:crosses val="autoZero"/>
        <c:crossBetween val="between"/>
        <c:majorUnit val="1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935785915945907E-2"/>
          <c:y val="4.9717514124293788E-2"/>
          <c:w val="0.93906462432524085"/>
          <c:h val="0.81838053294185686"/>
        </c:manualLayout>
      </c:layout>
      <c:stockChart>
        <c:ser>
          <c:idx val="0"/>
          <c:order val="0"/>
          <c:spPr>
            <a:ln w="19050">
              <a:noFill/>
            </a:ln>
          </c:spPr>
          <c:marker>
            <c:symbol val="none"/>
          </c:marker>
          <c:cat>
            <c:strRef>
              <c:f>'Svarene #1'!$A$42:$A$45</c:f>
              <c:strCache>
                <c:ptCount val="4"/>
                <c:pt idx="0">
                  <c:v>Intern kommunikation</c:v>
                </c:pt>
                <c:pt idx="1">
                  <c:v>Kontakter i branchen</c:v>
                </c:pt>
                <c:pt idx="2">
                  <c:v>Kontakt i lokalområdet</c:v>
                </c:pt>
                <c:pt idx="3">
                  <c:v>Kontakt til andre aktører</c:v>
                </c:pt>
              </c:strCache>
            </c:strRef>
          </c:cat>
          <c:val>
            <c:numRef>
              <c:f>'Svarene #1'!$B$42:$B$45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CD-4F78-938C-F7915D1BA797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none"/>
          </c:marker>
          <c:cat>
            <c:strRef>
              <c:f>'Svarene #1'!$A$42:$A$45</c:f>
              <c:strCache>
                <c:ptCount val="4"/>
                <c:pt idx="0">
                  <c:v>Intern kommunikation</c:v>
                </c:pt>
                <c:pt idx="1">
                  <c:v>Kontakter i branchen</c:v>
                </c:pt>
                <c:pt idx="2">
                  <c:v>Kontakt i lokalområdet</c:v>
                </c:pt>
                <c:pt idx="3">
                  <c:v>Kontakt til andre aktører</c:v>
                </c:pt>
              </c:strCache>
            </c:strRef>
          </c:cat>
          <c:val>
            <c:numRef>
              <c:f>'Svarene #1'!$C$42:$C$45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CD-4F78-938C-F7915D1BA797}"/>
            </c:ext>
          </c:extLst>
        </c:ser>
        <c:ser>
          <c:idx val="2"/>
          <c:order val="2"/>
          <c:spPr>
            <a:ln w="19050">
              <a:noFill/>
            </a:ln>
          </c:spPr>
          <c:marker>
            <c:symbol val="x"/>
            <c:size val="9"/>
            <c:spPr>
              <a:solidFill>
                <a:srgbClr val="FF0000"/>
              </a:solidFill>
              <a:ln>
                <a:noFill/>
              </a:ln>
            </c:spPr>
          </c:marker>
          <c:cat>
            <c:strRef>
              <c:f>'Svarene #1'!$A$42:$A$45</c:f>
              <c:strCache>
                <c:ptCount val="4"/>
                <c:pt idx="0">
                  <c:v>Intern kommunikation</c:v>
                </c:pt>
                <c:pt idx="1">
                  <c:v>Kontakter i branchen</c:v>
                </c:pt>
                <c:pt idx="2">
                  <c:v>Kontakt i lokalområdet</c:v>
                </c:pt>
                <c:pt idx="3">
                  <c:v>Kontakt til andre aktører</c:v>
                </c:pt>
              </c:strCache>
            </c:strRef>
          </c:cat>
          <c:val>
            <c:numRef>
              <c:f>'Svarene #1'!$D$42:$D$45</c:f>
              <c:numCache>
                <c:formatCode>0.0</c:formatCode>
                <c:ptCount val="4"/>
                <c:pt idx="0">
                  <c:v>2.4</c:v>
                </c:pt>
                <c:pt idx="1">
                  <c:v>1.8</c:v>
                </c:pt>
                <c:pt idx="2">
                  <c:v>2.6</c:v>
                </c:pt>
                <c:pt idx="3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CD-4F78-938C-F7915D1BA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22225" cap="sq" cmpd="sng" algn="ctr">
              <a:solidFill>
                <a:schemeClr val="tx1">
                  <a:lumMod val="50000"/>
                  <a:lumOff val="50000"/>
                </a:schemeClr>
              </a:solidFill>
              <a:prstDash val="sysDash"/>
              <a:miter lim="800000"/>
              <a:headEnd type="oval" w="sm" len="sm"/>
              <a:tailEnd type="oval" w="sm" len="sm"/>
            </a:ln>
            <a:effectLst/>
          </c:spPr>
        </c:hiLowLines>
        <c:axId val="457864960"/>
        <c:axId val="457863976"/>
      </c:stockChart>
      <c:catAx>
        <c:axId val="45786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63976"/>
        <c:crosses val="autoZero"/>
        <c:auto val="1"/>
        <c:lblAlgn val="ctr"/>
        <c:lblOffset val="100"/>
        <c:noMultiLvlLbl val="0"/>
      </c:catAx>
      <c:valAx>
        <c:axId val="457863976"/>
        <c:scaling>
          <c:orientation val="minMax"/>
          <c:max val="4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64960"/>
        <c:crosses val="autoZero"/>
        <c:crossBetween val="between"/>
        <c:majorUnit val="1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935785915945907E-2"/>
          <c:y val="4.9717514124293788E-2"/>
          <c:w val="0.93906462432524085"/>
          <c:h val="0.81838053294185686"/>
        </c:manualLayout>
      </c:layout>
      <c:stockChart>
        <c:ser>
          <c:idx val="0"/>
          <c:order val="0"/>
          <c:spPr>
            <a:ln w="19050">
              <a:noFill/>
            </a:ln>
          </c:spPr>
          <c:marker>
            <c:symbol val="none"/>
          </c:marker>
          <c:cat>
            <c:strRef>
              <c:f>'Svarene #1'!$A$46:$A$47</c:f>
              <c:strCache>
                <c:ptCount val="2"/>
                <c:pt idx="0">
                  <c:v>Bæredygtighedsarbejde sammen med værdikæden</c:v>
                </c:pt>
                <c:pt idx="1">
                  <c:v>Bæredygtighedsarbejde sammen med andre aktører</c:v>
                </c:pt>
              </c:strCache>
            </c:strRef>
          </c:cat>
          <c:val>
            <c:numRef>
              <c:f>'Svarene #1'!$B$46:$B$47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A3-440B-B832-817615BF9369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none"/>
          </c:marker>
          <c:cat>
            <c:strRef>
              <c:f>'Svarene #1'!$A$46:$A$47</c:f>
              <c:strCache>
                <c:ptCount val="2"/>
                <c:pt idx="0">
                  <c:v>Bæredygtighedsarbejde sammen med værdikæden</c:v>
                </c:pt>
                <c:pt idx="1">
                  <c:v>Bæredygtighedsarbejde sammen med andre aktører</c:v>
                </c:pt>
              </c:strCache>
            </c:strRef>
          </c:cat>
          <c:val>
            <c:numRef>
              <c:f>'Svarene #1'!$C$46:$C$47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A3-440B-B832-817615BF9369}"/>
            </c:ext>
          </c:extLst>
        </c:ser>
        <c:ser>
          <c:idx val="2"/>
          <c:order val="2"/>
          <c:spPr>
            <a:ln w="19050">
              <a:noFill/>
            </a:ln>
          </c:spPr>
          <c:marker>
            <c:symbol val="x"/>
            <c:size val="9"/>
            <c:spPr>
              <a:solidFill>
                <a:srgbClr val="FF0000"/>
              </a:solidFill>
              <a:ln>
                <a:noFill/>
              </a:ln>
            </c:spPr>
          </c:marker>
          <c:cat>
            <c:strRef>
              <c:f>'Svarene #1'!$A$46:$A$47</c:f>
              <c:strCache>
                <c:ptCount val="2"/>
                <c:pt idx="0">
                  <c:v>Bæredygtighedsarbejde sammen med værdikæden</c:v>
                </c:pt>
                <c:pt idx="1">
                  <c:v>Bæredygtighedsarbejde sammen med andre aktører</c:v>
                </c:pt>
              </c:strCache>
            </c:strRef>
          </c:cat>
          <c:val>
            <c:numRef>
              <c:f>'Svarene #1'!$D$46:$D$47</c:f>
              <c:numCache>
                <c:formatCode>0.0</c:formatCode>
                <c:ptCount val="2"/>
                <c:pt idx="0">
                  <c:v>1.8</c:v>
                </c:pt>
                <c:pt idx="1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A3-440B-B832-817615BF9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22225" cap="sq" cmpd="sng" algn="ctr">
              <a:solidFill>
                <a:schemeClr val="tx1">
                  <a:lumMod val="50000"/>
                  <a:lumOff val="50000"/>
                </a:schemeClr>
              </a:solidFill>
              <a:prstDash val="sysDash"/>
              <a:miter lim="800000"/>
              <a:headEnd type="oval" w="sm" len="sm"/>
              <a:tailEnd type="oval" w="sm" len="sm"/>
            </a:ln>
            <a:effectLst/>
          </c:spPr>
        </c:hiLowLines>
        <c:axId val="457864960"/>
        <c:axId val="457863976"/>
      </c:stockChart>
      <c:catAx>
        <c:axId val="45786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63976"/>
        <c:crosses val="autoZero"/>
        <c:auto val="1"/>
        <c:lblAlgn val="ctr"/>
        <c:lblOffset val="100"/>
        <c:noMultiLvlLbl val="0"/>
      </c:catAx>
      <c:valAx>
        <c:axId val="457863976"/>
        <c:scaling>
          <c:orientation val="minMax"/>
          <c:max val="4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64960"/>
        <c:crosses val="autoZero"/>
        <c:crossBetween val="between"/>
        <c:majorUnit val="1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935785915945907E-2"/>
          <c:y val="4.9717514124293788E-2"/>
          <c:w val="0.93906462432524085"/>
          <c:h val="0.81838053294185686"/>
        </c:manualLayout>
      </c:layout>
      <c:stockChart>
        <c:ser>
          <c:idx val="0"/>
          <c:order val="0"/>
          <c:spPr>
            <a:ln w="19050">
              <a:noFill/>
            </a:ln>
          </c:spPr>
          <c:marker>
            <c:symbol val="none"/>
          </c:marker>
          <c:cat>
            <c:strRef>
              <c:f>'Svarene #1'!$A$48:$A$49</c:f>
              <c:strCache>
                <c:ptCount val="2"/>
                <c:pt idx="0">
                  <c:v>Åbenhed for nye partnerskaber</c:v>
                </c:pt>
                <c:pt idx="1">
                  <c:v>Åbenhed for at dele informationer</c:v>
                </c:pt>
              </c:strCache>
            </c:strRef>
          </c:cat>
          <c:val>
            <c:numRef>
              <c:f>'Svarene #1'!$B$48:$B$49</c:f>
              <c:numCache>
                <c:formatCode>General</c:formatCode>
                <c:ptCount val="2"/>
                <c:pt idx="0">
                  <c:v>4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C0-494C-94E5-E2961736C710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none"/>
          </c:marker>
          <c:cat>
            <c:strRef>
              <c:f>'Svarene #1'!$A$48:$A$49</c:f>
              <c:strCache>
                <c:ptCount val="2"/>
                <c:pt idx="0">
                  <c:v>Åbenhed for nye partnerskaber</c:v>
                </c:pt>
                <c:pt idx="1">
                  <c:v>Åbenhed for at dele informationer</c:v>
                </c:pt>
              </c:strCache>
            </c:strRef>
          </c:cat>
          <c:val>
            <c:numRef>
              <c:f>'Svarene #1'!$C$48:$C$49</c:f>
              <c:numCache>
                <c:formatCode>General</c:formatCode>
                <c:ptCount val="2"/>
                <c:pt idx="0">
                  <c:v>3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C0-494C-94E5-E2961736C710}"/>
            </c:ext>
          </c:extLst>
        </c:ser>
        <c:ser>
          <c:idx val="2"/>
          <c:order val="2"/>
          <c:spPr>
            <a:ln w="19050">
              <a:noFill/>
            </a:ln>
          </c:spPr>
          <c:marker>
            <c:symbol val="square"/>
            <c:size val="9"/>
            <c:spPr>
              <a:solidFill>
                <a:srgbClr val="FF0000"/>
              </a:solidFill>
              <a:ln>
                <a:noFill/>
              </a:ln>
            </c:spPr>
          </c:marker>
          <c:cat>
            <c:strRef>
              <c:f>'Svarene #1'!$A$48:$A$49</c:f>
              <c:strCache>
                <c:ptCount val="2"/>
                <c:pt idx="0">
                  <c:v>Åbenhed for nye partnerskaber</c:v>
                </c:pt>
                <c:pt idx="1">
                  <c:v>Åbenhed for at dele informationer</c:v>
                </c:pt>
              </c:strCache>
            </c:strRef>
          </c:cat>
          <c:val>
            <c:numRef>
              <c:f>'Svarene #1'!$D$48:$D$49</c:f>
              <c:numCache>
                <c:formatCode>0.0</c:formatCode>
                <c:ptCount val="2"/>
                <c:pt idx="0">
                  <c:v>3.6</c:v>
                </c:pt>
                <c:pt idx="1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C0-494C-94E5-E2961736C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22225" cap="sq" cmpd="sng" algn="ctr">
              <a:solidFill>
                <a:schemeClr val="tx1">
                  <a:lumMod val="50000"/>
                  <a:lumOff val="50000"/>
                </a:schemeClr>
              </a:solidFill>
              <a:prstDash val="sysDash"/>
              <a:miter lim="800000"/>
              <a:headEnd type="oval" w="sm" len="sm"/>
              <a:tailEnd type="oval" w="sm" len="sm"/>
            </a:ln>
            <a:effectLst/>
          </c:spPr>
        </c:hiLowLines>
        <c:axId val="457864960"/>
        <c:axId val="457863976"/>
      </c:stockChart>
      <c:catAx>
        <c:axId val="457864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63976"/>
        <c:crosses val="autoZero"/>
        <c:auto val="1"/>
        <c:lblAlgn val="ctr"/>
        <c:lblOffset val="100"/>
        <c:noMultiLvlLbl val="0"/>
      </c:catAx>
      <c:valAx>
        <c:axId val="457863976"/>
        <c:scaling>
          <c:orientation val="minMax"/>
          <c:max val="4"/>
        </c:scaling>
        <c:delete val="0"/>
        <c:axPos val="l"/>
        <c:numFmt formatCode="General" sourceLinked="1"/>
        <c:majorTickMark val="out"/>
        <c:minorTickMark val="none"/>
        <c:tickLblPos val="nextTo"/>
        <c:crossAx val="457864960"/>
        <c:crosses val="autoZero"/>
        <c:crossBetween val="between"/>
        <c:majorUnit val="1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strRef>
              <c:f>'Svarene #2'!$B$24</c:f>
              <c:strCache>
                <c:ptCount val="1"/>
                <c:pt idx="0">
                  <c:v>Score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10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C5-4EB0-8308-B5B9BC885E87}"/>
              </c:ext>
            </c:extLst>
          </c:dPt>
          <c:xVal>
            <c:numRef>
              <c:f>'Svarene #2'!$B$26</c:f>
              <c:numCache>
                <c:formatCode>0</c:formatCode>
                <c:ptCount val="1"/>
                <c:pt idx="0">
                  <c:v>21.75</c:v>
                </c:pt>
              </c:numCache>
            </c:numRef>
          </c:xVal>
          <c:yVal>
            <c:numRef>
              <c:f>'Svarene #2'!$B$25</c:f>
              <c:numCache>
                <c:formatCode>0</c:formatCode>
                <c:ptCount val="1"/>
                <c:pt idx="0">
                  <c:v>21.75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C5-4EB0-8308-B5B9BC885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395080"/>
        <c:axId val="571393440"/>
      </c:scatterChart>
      <c:valAx>
        <c:axId val="571395080"/>
        <c:scaling>
          <c:orientation val="minMax"/>
          <c:max val="3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Samarbejdsmodenhed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393440"/>
        <c:crosses val="autoZero"/>
        <c:crossBetween val="midCat"/>
      </c:valAx>
      <c:valAx>
        <c:axId val="571393440"/>
        <c:scaling>
          <c:orientation val="minMax"/>
          <c:max val="32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Bæredygtighedsledelse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395080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'Svarene #2'!$B$41</c:f>
              <c:strCache>
                <c:ptCount val="1"/>
                <c:pt idx="0">
                  <c:v>Før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'Svarene #2'!$A$42:$A$43</c:f>
              <c:strCache>
                <c:ptCount val="2"/>
                <c:pt idx="0">
                  <c:v>Medarbejdere med viden om bæredygtig udvikling</c:v>
                </c:pt>
                <c:pt idx="1">
                  <c:v>Plan for udvikling af viden og kompetencer</c:v>
                </c:pt>
              </c:strCache>
            </c:strRef>
          </c:cat>
          <c:val>
            <c:numRef>
              <c:f>'Svarene #2'!$B$42:$B$43</c:f>
              <c:numCache>
                <c:formatCode>General</c:formatCode>
                <c:ptCount val="2"/>
                <c:pt idx="0">
                  <c:v>3.2</c:v>
                </c:pt>
                <c:pt idx="1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CD-47F2-80A9-B9BD49FEF6A1}"/>
            </c:ext>
          </c:extLst>
        </c:ser>
        <c:ser>
          <c:idx val="1"/>
          <c:order val="1"/>
          <c:tx>
            <c:strRef>
              <c:f>'Svarene #2'!$C$41</c:f>
              <c:strCache>
                <c:ptCount val="1"/>
                <c:pt idx="0">
                  <c:v>Nu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'Svarene #2'!$A$42:$A$43</c:f>
              <c:strCache>
                <c:ptCount val="2"/>
                <c:pt idx="0">
                  <c:v>Medarbejdere med viden om bæredygtig udvikling</c:v>
                </c:pt>
                <c:pt idx="1">
                  <c:v>Plan for udvikling af viden og kompetencer</c:v>
                </c:pt>
              </c:strCache>
            </c:strRef>
          </c:cat>
          <c:val>
            <c:numRef>
              <c:f>'Svarene #2'!$C$42:$C$43</c:f>
              <c:numCache>
                <c:formatCode>0.0</c:formatCode>
                <c:ptCount val="2"/>
                <c:pt idx="0">
                  <c:v>3.75</c:v>
                </c:pt>
                <c:pt idx="1">
                  <c:v>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CD-47F2-80A9-B9BD49FEF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0149904"/>
        <c:axId val="920147824"/>
      </c:barChart>
      <c:catAx>
        <c:axId val="9201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147824"/>
        <c:crosses val="autoZero"/>
        <c:auto val="1"/>
        <c:lblAlgn val="ctr"/>
        <c:lblOffset val="100"/>
        <c:noMultiLvlLbl val="0"/>
      </c:catAx>
      <c:valAx>
        <c:axId val="92014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149904"/>
        <c:crosses val="autoZero"/>
        <c:crossBetween val="between"/>
        <c:majorUnit val="1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'Svarene #2'!$B$44</c:f>
              <c:strCache>
                <c:ptCount val="1"/>
                <c:pt idx="0">
                  <c:v>Før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'Svarene #2'!$A$45:$A$47</c:f>
              <c:strCache>
                <c:ptCount val="3"/>
                <c:pt idx="0">
                  <c:v>Grønne omstilling som mulighed</c:v>
                </c:pt>
                <c:pt idx="1">
                  <c:v>Ledelse og bestyrelse med fokus på bæredygtighed</c:v>
                </c:pt>
                <c:pt idx="2">
                  <c:v>Fremadskuende kultur og mindset</c:v>
                </c:pt>
              </c:strCache>
            </c:strRef>
          </c:cat>
          <c:val>
            <c:numRef>
              <c:f>'Svarene #2'!$B$45:$B$47</c:f>
              <c:numCache>
                <c:formatCode>General</c:formatCode>
                <c:ptCount val="3"/>
                <c:pt idx="0">
                  <c:v>2.8</c:v>
                </c:pt>
                <c:pt idx="1">
                  <c:v>2.6</c:v>
                </c:pt>
                <c:pt idx="2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5-4CDC-AECF-B4D69C71A172}"/>
            </c:ext>
          </c:extLst>
        </c:ser>
        <c:ser>
          <c:idx val="1"/>
          <c:order val="1"/>
          <c:tx>
            <c:strRef>
              <c:f>'Svarene #2'!$C$44</c:f>
              <c:strCache>
                <c:ptCount val="1"/>
                <c:pt idx="0">
                  <c:v>Nu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'Svarene #2'!$A$45:$A$47</c:f>
              <c:strCache>
                <c:ptCount val="3"/>
                <c:pt idx="0">
                  <c:v>Grønne omstilling som mulighed</c:v>
                </c:pt>
                <c:pt idx="1">
                  <c:v>Ledelse og bestyrelse med fokus på bæredygtighed</c:v>
                </c:pt>
                <c:pt idx="2">
                  <c:v>Fremadskuende kultur og mindset</c:v>
                </c:pt>
              </c:strCache>
            </c:strRef>
          </c:cat>
          <c:val>
            <c:numRef>
              <c:f>'Svarene #2'!$C$45:$C$47</c:f>
              <c:numCache>
                <c:formatCode>0.0</c:formatCode>
                <c:ptCount val="3"/>
                <c:pt idx="0">
                  <c:v>2.75</c:v>
                </c:pt>
                <c:pt idx="1">
                  <c:v>3.25</c:v>
                </c:pt>
                <c:pt idx="2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15-4CDC-AECF-B4D69C71A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0149904"/>
        <c:axId val="920147824"/>
      </c:barChart>
      <c:catAx>
        <c:axId val="9201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147824"/>
        <c:crosses val="autoZero"/>
        <c:auto val="1"/>
        <c:lblAlgn val="ctr"/>
        <c:lblOffset val="100"/>
        <c:noMultiLvlLbl val="0"/>
      </c:catAx>
      <c:valAx>
        <c:axId val="92014782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149904"/>
        <c:crosses val="autoZero"/>
        <c:crossBetween val="between"/>
        <c:majorUnit val="1"/>
        <c:minorUnit val="0.1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'Svarene #2'!$B$48</c:f>
              <c:strCache>
                <c:ptCount val="1"/>
                <c:pt idx="0">
                  <c:v>Før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'Svarene #2'!$A$49:$A$51</c:f>
              <c:strCache>
                <c:ptCount val="3"/>
                <c:pt idx="0">
                  <c:v>Værtøjer til effektvurdering</c:v>
                </c:pt>
                <c:pt idx="1">
                  <c:v>Strategi</c:v>
                </c:pt>
                <c:pt idx="2">
                  <c:v>Tydelige mål og KPIer</c:v>
                </c:pt>
              </c:strCache>
            </c:strRef>
          </c:cat>
          <c:val>
            <c:numRef>
              <c:f>'Svarene #2'!$B$49:$B$51</c:f>
              <c:numCache>
                <c:formatCode>General</c:formatCode>
                <c:ptCount val="3"/>
                <c:pt idx="0">
                  <c:v>1.4</c:v>
                </c:pt>
                <c:pt idx="1">
                  <c:v>2.8</c:v>
                </c:pt>
                <c:pt idx="2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F-4710-BA01-C73286736D58}"/>
            </c:ext>
          </c:extLst>
        </c:ser>
        <c:ser>
          <c:idx val="1"/>
          <c:order val="1"/>
          <c:tx>
            <c:strRef>
              <c:f>'Svarene #2'!$C$48</c:f>
              <c:strCache>
                <c:ptCount val="1"/>
                <c:pt idx="0">
                  <c:v>Nu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'Svarene #2'!$A$49:$A$51</c:f>
              <c:strCache>
                <c:ptCount val="3"/>
                <c:pt idx="0">
                  <c:v>Værtøjer til effektvurdering</c:v>
                </c:pt>
                <c:pt idx="1">
                  <c:v>Strategi</c:v>
                </c:pt>
                <c:pt idx="2">
                  <c:v>Tydelige mål og KPIer</c:v>
                </c:pt>
              </c:strCache>
            </c:strRef>
          </c:cat>
          <c:val>
            <c:numRef>
              <c:f>'Svarene #2'!$C$49:$C$51</c:f>
              <c:numCache>
                <c:formatCode>0.0</c:formatCode>
                <c:ptCount val="3"/>
                <c:pt idx="0">
                  <c:v>2.5</c:v>
                </c:pt>
                <c:pt idx="1">
                  <c:v>3</c:v>
                </c:pt>
                <c:pt idx="2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3F-4710-BA01-C73286736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0149904"/>
        <c:axId val="920147824"/>
      </c:barChart>
      <c:catAx>
        <c:axId val="9201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147824"/>
        <c:crosses val="autoZero"/>
        <c:auto val="1"/>
        <c:lblAlgn val="ctr"/>
        <c:lblOffset val="100"/>
        <c:noMultiLvlLbl val="0"/>
      </c:catAx>
      <c:valAx>
        <c:axId val="92014782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149904"/>
        <c:crosses val="autoZero"/>
        <c:crossBetween val="between"/>
        <c:majorUnit val="1"/>
        <c:minorUnit val="0.1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'Svarene #2'!$B$52</c:f>
              <c:strCache>
                <c:ptCount val="1"/>
                <c:pt idx="0">
                  <c:v>Før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'Svarene #2'!$A$53:$A$56</c:f>
              <c:strCache>
                <c:ptCount val="4"/>
                <c:pt idx="0">
                  <c:v>Intern kommunikation</c:v>
                </c:pt>
                <c:pt idx="1">
                  <c:v>Kontakter i branchen</c:v>
                </c:pt>
                <c:pt idx="2">
                  <c:v>Kontakt i lokalområdet</c:v>
                </c:pt>
                <c:pt idx="3">
                  <c:v>Kontakt til andre aktører</c:v>
                </c:pt>
              </c:strCache>
            </c:strRef>
          </c:cat>
          <c:val>
            <c:numRef>
              <c:f>'Svarene #2'!$B$53:$B$56</c:f>
              <c:numCache>
                <c:formatCode>General</c:formatCode>
                <c:ptCount val="4"/>
                <c:pt idx="0">
                  <c:v>2.4</c:v>
                </c:pt>
                <c:pt idx="1">
                  <c:v>1.8</c:v>
                </c:pt>
                <c:pt idx="2">
                  <c:v>2.6</c:v>
                </c:pt>
                <c:pt idx="3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D0-4580-BC23-1A4D6805BE61}"/>
            </c:ext>
          </c:extLst>
        </c:ser>
        <c:ser>
          <c:idx val="1"/>
          <c:order val="1"/>
          <c:tx>
            <c:strRef>
              <c:f>'Svarene #2'!$C$52</c:f>
              <c:strCache>
                <c:ptCount val="1"/>
                <c:pt idx="0">
                  <c:v>Nu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'Svarene #2'!$A$53:$A$56</c:f>
              <c:strCache>
                <c:ptCount val="4"/>
                <c:pt idx="0">
                  <c:v>Intern kommunikation</c:v>
                </c:pt>
                <c:pt idx="1">
                  <c:v>Kontakter i branchen</c:v>
                </c:pt>
                <c:pt idx="2">
                  <c:v>Kontakt i lokalområdet</c:v>
                </c:pt>
                <c:pt idx="3">
                  <c:v>Kontakt til andre aktører</c:v>
                </c:pt>
              </c:strCache>
            </c:strRef>
          </c:cat>
          <c:val>
            <c:numRef>
              <c:f>'Svarene #2'!$C$53:$C$56</c:f>
              <c:numCache>
                <c:formatCode>0.0</c:formatCode>
                <c:ptCount val="4"/>
                <c:pt idx="0">
                  <c:v>2.5</c:v>
                </c:pt>
                <c:pt idx="1">
                  <c:v>2.25</c:v>
                </c:pt>
                <c:pt idx="2">
                  <c:v>2.75</c:v>
                </c:pt>
                <c:pt idx="3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D0-4580-BC23-1A4D6805B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0149904"/>
        <c:axId val="920147824"/>
      </c:barChart>
      <c:catAx>
        <c:axId val="9201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147824"/>
        <c:crosses val="autoZero"/>
        <c:auto val="1"/>
        <c:lblAlgn val="ctr"/>
        <c:lblOffset val="100"/>
        <c:noMultiLvlLbl val="0"/>
      </c:catAx>
      <c:valAx>
        <c:axId val="92014782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149904"/>
        <c:crosses val="autoZero"/>
        <c:crossBetween val="between"/>
        <c:majorUnit val="1"/>
        <c:minorUnit val="0.1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'Svarene #2'!$B$57</c:f>
              <c:strCache>
                <c:ptCount val="1"/>
                <c:pt idx="0">
                  <c:v>Før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'Svarene #2'!$A$58:$A$59</c:f>
              <c:strCache>
                <c:ptCount val="2"/>
                <c:pt idx="0">
                  <c:v>Bæredygtighedsarbejde sammen med værdikæden</c:v>
                </c:pt>
                <c:pt idx="1">
                  <c:v>Bæredygtighedsarbejde sammen med andre aktører</c:v>
                </c:pt>
              </c:strCache>
            </c:strRef>
          </c:cat>
          <c:val>
            <c:numRef>
              <c:f>'Svarene #2'!$B$58:$B$59</c:f>
              <c:numCache>
                <c:formatCode>General</c:formatCode>
                <c:ptCount val="2"/>
                <c:pt idx="0">
                  <c:v>1.8</c:v>
                </c:pt>
                <c:pt idx="1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F-49C4-B215-2C76F8137F42}"/>
            </c:ext>
          </c:extLst>
        </c:ser>
        <c:ser>
          <c:idx val="1"/>
          <c:order val="1"/>
          <c:tx>
            <c:strRef>
              <c:f>'Svarene #2'!$C$57</c:f>
              <c:strCache>
                <c:ptCount val="1"/>
                <c:pt idx="0">
                  <c:v>Nu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'Svarene #2'!$A$58:$A$59</c:f>
              <c:strCache>
                <c:ptCount val="2"/>
                <c:pt idx="0">
                  <c:v>Bæredygtighedsarbejde sammen med værdikæden</c:v>
                </c:pt>
                <c:pt idx="1">
                  <c:v>Bæredygtighedsarbejde sammen med andre aktører</c:v>
                </c:pt>
              </c:strCache>
            </c:strRef>
          </c:cat>
          <c:val>
            <c:numRef>
              <c:f>'Svarene #2'!$C$58:$C$59</c:f>
              <c:numCache>
                <c:formatCode>0.0</c:formatCode>
                <c:ptCount val="2"/>
                <c:pt idx="0">
                  <c:v>2.75</c:v>
                </c:pt>
                <c:pt idx="1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DF-49C4-B215-2C76F8137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0149904"/>
        <c:axId val="920147824"/>
      </c:barChart>
      <c:catAx>
        <c:axId val="9201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147824"/>
        <c:crosses val="autoZero"/>
        <c:auto val="1"/>
        <c:lblAlgn val="ctr"/>
        <c:lblOffset val="100"/>
        <c:noMultiLvlLbl val="0"/>
      </c:catAx>
      <c:valAx>
        <c:axId val="92014782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149904"/>
        <c:crosses val="autoZero"/>
        <c:crossBetween val="between"/>
        <c:majorUnit val="1"/>
        <c:minorUnit val="0.1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'Svarene #2'!$B$60</c:f>
              <c:strCache>
                <c:ptCount val="1"/>
                <c:pt idx="0">
                  <c:v>Før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'Svarene #2'!$A$61:$A$62</c:f>
              <c:strCache>
                <c:ptCount val="2"/>
                <c:pt idx="0">
                  <c:v>Åbenhed for nye partnerskaber</c:v>
                </c:pt>
                <c:pt idx="1">
                  <c:v>Åbenhed for at dele informationer</c:v>
                </c:pt>
              </c:strCache>
            </c:strRef>
          </c:cat>
          <c:val>
            <c:numRef>
              <c:f>'Svarene #2'!$B$61:$B$62</c:f>
              <c:numCache>
                <c:formatCode>General</c:formatCode>
                <c:ptCount val="2"/>
                <c:pt idx="0">
                  <c:v>3.6</c:v>
                </c:pt>
                <c:pt idx="1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7-43B3-9622-866C6C72760A}"/>
            </c:ext>
          </c:extLst>
        </c:ser>
        <c:ser>
          <c:idx val="1"/>
          <c:order val="1"/>
          <c:tx>
            <c:strRef>
              <c:f>'Svarene #2'!$C$60</c:f>
              <c:strCache>
                <c:ptCount val="1"/>
                <c:pt idx="0">
                  <c:v>Nu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'Svarene #2'!$A$61:$A$62</c:f>
              <c:strCache>
                <c:ptCount val="2"/>
                <c:pt idx="0">
                  <c:v>Åbenhed for nye partnerskaber</c:v>
                </c:pt>
                <c:pt idx="1">
                  <c:v>Åbenhed for at dele informationer</c:v>
                </c:pt>
              </c:strCache>
            </c:strRef>
          </c:cat>
          <c:val>
            <c:numRef>
              <c:f>'Svarene #2'!$C$61:$C$62</c:f>
              <c:numCache>
                <c:formatCode>0.0</c:formatCode>
                <c:ptCount val="2"/>
                <c:pt idx="0">
                  <c:v>3.5</c:v>
                </c:pt>
                <c:pt idx="1">
                  <c:v>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67-43B3-9622-866C6C727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0149904"/>
        <c:axId val="920147824"/>
      </c:barChart>
      <c:catAx>
        <c:axId val="9201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147824"/>
        <c:crosses val="autoZero"/>
        <c:auto val="1"/>
        <c:lblAlgn val="ctr"/>
        <c:lblOffset val="100"/>
        <c:noMultiLvlLbl val="0"/>
      </c:catAx>
      <c:valAx>
        <c:axId val="92014782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149904"/>
        <c:crosses val="autoZero"/>
        <c:crossBetween val="between"/>
        <c:majorUnit val="1"/>
        <c:minorUnit val="0.1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361949</xdr:colOff>
      <xdr:row>1</xdr:row>
      <xdr:rowOff>95250</xdr:rowOff>
    </xdr:from>
    <xdr:to>
      <xdr:col>10</xdr:col>
      <xdr:colOff>44092</xdr:colOff>
      <xdr:row>33</xdr:row>
      <xdr:rowOff>49536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311150</xdr:colOff>
      <xdr:row>1</xdr:row>
      <xdr:rowOff>146049</xdr:rowOff>
    </xdr:from>
    <xdr:to>
      <xdr:col>11</xdr:col>
      <xdr:colOff>44594</xdr:colOff>
      <xdr:row>17</xdr:row>
      <xdr:rowOff>90937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243416</xdr:colOff>
      <xdr:row>2</xdr:row>
      <xdr:rowOff>32279</xdr:rowOff>
    </xdr:from>
    <xdr:to>
      <xdr:col>11</xdr:col>
      <xdr:colOff>7407</xdr:colOff>
      <xdr:row>18</xdr:row>
      <xdr:rowOff>10583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133350</xdr:rowOff>
    </xdr:from>
    <xdr:to>
      <xdr:col>10</xdr:col>
      <xdr:colOff>553300</xdr:colOff>
      <xdr:row>17</xdr:row>
      <xdr:rowOff>63775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</xdr:row>
      <xdr:rowOff>85725</xdr:rowOff>
    </xdr:from>
    <xdr:to>
      <xdr:col>10</xdr:col>
      <xdr:colOff>515200</xdr:colOff>
      <xdr:row>18</xdr:row>
      <xdr:rowOff>25675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2</xdr:row>
      <xdr:rowOff>19050</xdr:rowOff>
    </xdr:from>
    <xdr:to>
      <xdr:col>10</xdr:col>
      <xdr:colOff>439000</xdr:colOff>
      <xdr:row>17</xdr:row>
      <xdr:rowOff>139975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2</xdr:row>
      <xdr:rowOff>28575</xdr:rowOff>
    </xdr:from>
    <xdr:to>
      <xdr:col>10</xdr:col>
      <xdr:colOff>439000</xdr:colOff>
      <xdr:row>17</xdr:row>
      <xdr:rowOff>139975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361949</xdr:colOff>
      <xdr:row>1</xdr:row>
      <xdr:rowOff>95250</xdr:rowOff>
    </xdr:from>
    <xdr:to>
      <xdr:col>10</xdr:col>
      <xdr:colOff>44092</xdr:colOff>
      <xdr:row>33</xdr:row>
      <xdr:rowOff>49536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F961F0-7CC6-4C4C-ADFF-3CE28644C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42331</xdr:colOff>
      <xdr:row>1</xdr:row>
      <xdr:rowOff>49391</xdr:rowOff>
    </xdr:from>
    <xdr:to>
      <xdr:col>10</xdr:col>
      <xdr:colOff>278164</xdr:colOff>
      <xdr:row>16</xdr:row>
      <xdr:rowOff>177724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DCC30C-B17D-4BE6-9679-77129BFBB0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70555</xdr:colOff>
      <xdr:row>1</xdr:row>
      <xdr:rowOff>77610</xdr:rowOff>
    </xdr:from>
    <xdr:to>
      <xdr:col>10</xdr:col>
      <xdr:colOff>355777</xdr:colOff>
      <xdr:row>17</xdr:row>
      <xdr:rowOff>22499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06B9D6-9B7D-4C4A-8758-1579DFFBD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1</xdr:row>
      <xdr:rowOff>57150</xdr:rowOff>
    </xdr:from>
    <xdr:to>
      <xdr:col>10</xdr:col>
      <xdr:colOff>301450</xdr:colOff>
      <xdr:row>16</xdr:row>
      <xdr:rowOff>174900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1EA3FB-9F64-4C9E-A048-50E744877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1</xdr:row>
      <xdr:rowOff>57150</xdr:rowOff>
    </xdr:from>
    <xdr:to>
      <xdr:col>10</xdr:col>
      <xdr:colOff>282400</xdr:colOff>
      <xdr:row>16</xdr:row>
      <xdr:rowOff>174900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5A5E41-244D-4FD8-885D-903DE7422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</xdr:row>
      <xdr:rowOff>57150</xdr:rowOff>
    </xdr:from>
    <xdr:to>
      <xdr:col>10</xdr:col>
      <xdr:colOff>345900</xdr:colOff>
      <xdr:row>16</xdr:row>
      <xdr:rowOff>174900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D424D0-0A24-43E5-A084-6F24F3336E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1</xdr:row>
      <xdr:rowOff>50800</xdr:rowOff>
    </xdr:from>
    <xdr:to>
      <xdr:col>10</xdr:col>
      <xdr:colOff>339550</xdr:colOff>
      <xdr:row>16</xdr:row>
      <xdr:rowOff>168550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841E9C-4F30-4530-9429-EEC79CCC7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49"/>
  <sheetViews>
    <sheetView tabSelected="1" zoomScale="90" zoomScaleNormal="90" workbookViewId="0">
      <selection activeCell="F35" sqref="F35"/>
    </sheetView>
  </sheetViews>
  <sheetFormatPr defaultRowHeight="14.5" x14ac:dyDescent="0.35"/>
  <cols>
    <col min="1" max="1" width="47.453125" style="10" customWidth="1"/>
    <col min="2" max="2" width="12.1796875" style="9" bestFit="1" customWidth="1"/>
    <col min="3" max="3" width="15.1796875" style="9" customWidth="1"/>
    <col min="4" max="6" width="12.1796875" style="9" bestFit="1" customWidth="1"/>
    <col min="7" max="7" width="12.1796875" style="9" customWidth="1"/>
    <col min="8" max="8" width="23.1796875" style="11" customWidth="1"/>
    <col min="9" max="9" width="11.81640625" style="9" customWidth="1"/>
    <col min="10" max="10" width="13" style="9" customWidth="1"/>
    <col min="11" max="11" width="11.54296875" style="9" customWidth="1"/>
    <col min="12" max="16384" width="8.7265625" style="9"/>
  </cols>
  <sheetData>
    <row r="1" spans="1:12" ht="21" x14ac:dyDescent="0.5">
      <c r="A1" s="68" t="s">
        <v>52</v>
      </c>
      <c r="B1" s="69"/>
      <c r="C1" s="69"/>
      <c r="D1" s="69"/>
      <c r="E1" s="69"/>
      <c r="F1" s="69"/>
      <c r="G1" s="69"/>
      <c r="H1" s="70"/>
      <c r="I1" s="71"/>
      <c r="J1" s="71"/>
      <c r="K1" s="71"/>
      <c r="L1" s="71"/>
    </row>
    <row r="2" spans="1:12" ht="15" thickBot="1" x14ac:dyDescent="0.4"/>
    <row r="3" spans="1:12" ht="15" customHeight="1" x14ac:dyDescent="0.35">
      <c r="A3" s="18"/>
      <c r="B3" s="19" t="s">
        <v>3</v>
      </c>
      <c r="C3" s="20" t="s">
        <v>7</v>
      </c>
      <c r="D3" s="20" t="s">
        <v>4</v>
      </c>
      <c r="E3" s="20" t="s">
        <v>5</v>
      </c>
      <c r="F3" s="21" t="s">
        <v>6</v>
      </c>
      <c r="G3" s="12"/>
    </row>
    <row r="4" spans="1:12" ht="43.5" x14ac:dyDescent="0.35">
      <c r="A4" s="22"/>
      <c r="B4" s="1" t="s">
        <v>48</v>
      </c>
      <c r="C4" s="1" t="s">
        <v>48</v>
      </c>
      <c r="D4" s="1" t="s">
        <v>48</v>
      </c>
      <c r="E4" s="1" t="s">
        <v>48</v>
      </c>
      <c r="F4" s="1" t="s">
        <v>48</v>
      </c>
    </row>
    <row r="5" spans="1:12" x14ac:dyDescent="0.35">
      <c r="A5" s="23" t="s">
        <v>34</v>
      </c>
      <c r="B5" s="2">
        <v>4</v>
      </c>
      <c r="C5" s="2">
        <v>3</v>
      </c>
      <c r="D5" s="2">
        <v>3</v>
      </c>
      <c r="E5" s="2">
        <v>3</v>
      </c>
      <c r="F5" s="2">
        <v>3</v>
      </c>
      <c r="K5" s="12" t="s">
        <v>84</v>
      </c>
    </row>
    <row r="6" spans="1:12" ht="24" x14ac:dyDescent="0.35">
      <c r="A6" s="24" t="s">
        <v>35</v>
      </c>
      <c r="B6" s="2">
        <v>1</v>
      </c>
      <c r="C6" s="2">
        <v>3</v>
      </c>
      <c r="D6" s="2">
        <v>2</v>
      </c>
      <c r="E6" s="2">
        <v>2</v>
      </c>
      <c r="F6" s="2">
        <v>1</v>
      </c>
      <c r="K6" s="74" t="s">
        <v>80</v>
      </c>
      <c r="L6" s="9" t="s">
        <v>81</v>
      </c>
    </row>
    <row r="7" spans="1:12" ht="24" x14ac:dyDescent="0.35">
      <c r="A7" s="24" t="s">
        <v>36</v>
      </c>
      <c r="B7" s="2">
        <v>4</v>
      </c>
      <c r="C7" s="2">
        <v>4</v>
      </c>
      <c r="D7" s="2">
        <v>0</v>
      </c>
      <c r="E7" s="2">
        <v>3</v>
      </c>
      <c r="F7" s="2">
        <v>3</v>
      </c>
      <c r="K7" s="75" t="s">
        <v>82</v>
      </c>
      <c r="L7" s="9" t="s">
        <v>83</v>
      </c>
    </row>
    <row r="8" spans="1:12" ht="36" x14ac:dyDescent="0.35">
      <c r="A8" s="24" t="s">
        <v>37</v>
      </c>
      <c r="B8" s="2">
        <v>4</v>
      </c>
      <c r="C8" s="2">
        <v>3</v>
      </c>
      <c r="D8" s="2">
        <v>3</v>
      </c>
      <c r="E8" s="2">
        <v>3</v>
      </c>
      <c r="F8" s="2">
        <v>0</v>
      </c>
    </row>
    <row r="9" spans="1:12" ht="24" x14ac:dyDescent="0.35">
      <c r="A9" s="24" t="s">
        <v>38</v>
      </c>
      <c r="B9" s="2">
        <v>3</v>
      </c>
      <c r="C9" s="2">
        <v>3</v>
      </c>
      <c r="D9" s="2">
        <v>2</v>
      </c>
      <c r="E9" s="2">
        <v>3</v>
      </c>
      <c r="F9" s="2">
        <v>3</v>
      </c>
    </row>
    <row r="10" spans="1:12" ht="24" x14ac:dyDescent="0.35">
      <c r="A10" s="24" t="s">
        <v>39</v>
      </c>
      <c r="B10" s="2">
        <v>2</v>
      </c>
      <c r="C10" s="2">
        <v>2</v>
      </c>
      <c r="D10" s="2">
        <v>0</v>
      </c>
      <c r="E10" s="2">
        <v>3</v>
      </c>
      <c r="F10" s="2">
        <v>0</v>
      </c>
    </row>
    <row r="11" spans="1:12" ht="24" x14ac:dyDescent="0.35">
      <c r="A11" s="24" t="s">
        <v>40</v>
      </c>
      <c r="B11" s="2">
        <v>3</v>
      </c>
      <c r="C11" s="2">
        <v>3</v>
      </c>
      <c r="D11" s="2">
        <v>2</v>
      </c>
      <c r="E11" s="2">
        <v>3</v>
      </c>
      <c r="F11" s="2">
        <v>3</v>
      </c>
    </row>
    <row r="12" spans="1:12" ht="24" x14ac:dyDescent="0.35">
      <c r="A12" s="24" t="s">
        <v>41</v>
      </c>
      <c r="B12" s="2">
        <v>1</v>
      </c>
      <c r="C12" s="2">
        <v>2</v>
      </c>
      <c r="D12" s="2">
        <v>0</v>
      </c>
      <c r="E12" s="2">
        <v>3</v>
      </c>
      <c r="F12" s="2">
        <v>0</v>
      </c>
    </row>
    <row r="13" spans="1:12" ht="18.5" x14ac:dyDescent="0.35">
      <c r="A13" s="24"/>
      <c r="B13" s="58">
        <f>AVERAGE(B5:F5)+AVERAGE(B6:F6)+AVERAGE(B7:F7)+AVERAGE(B8:F8)+AVERAGE(B9:F9)+AVERAGE(B10:F10)+AVERAGE(B11:F11)+AVERAGE(B12:F12)</f>
        <v>18.599999999999998</v>
      </c>
      <c r="C13" s="59"/>
      <c r="D13" s="59"/>
      <c r="E13" s="59"/>
      <c r="F13" s="60"/>
    </row>
    <row r="14" spans="1:12" x14ac:dyDescent="0.35">
      <c r="A14" s="24" t="s">
        <v>23</v>
      </c>
      <c r="B14" s="3">
        <v>3</v>
      </c>
      <c r="C14" s="2">
        <v>1</v>
      </c>
      <c r="D14" s="2">
        <v>2</v>
      </c>
      <c r="E14" s="2">
        <v>3</v>
      </c>
      <c r="F14" s="2">
        <v>3</v>
      </c>
    </row>
    <row r="15" spans="1:12" ht="24" x14ac:dyDescent="0.35">
      <c r="A15" s="24" t="s">
        <v>24</v>
      </c>
      <c r="B15" s="3">
        <v>3</v>
      </c>
      <c r="C15" s="2">
        <v>2</v>
      </c>
      <c r="D15" s="2">
        <v>2</v>
      </c>
      <c r="E15" s="2">
        <v>2</v>
      </c>
      <c r="F15" s="2">
        <v>0</v>
      </c>
    </row>
    <row r="16" spans="1:12" ht="24" x14ac:dyDescent="0.35">
      <c r="A16" s="24" t="s">
        <v>25</v>
      </c>
      <c r="B16" s="3">
        <v>3</v>
      </c>
      <c r="C16" s="2">
        <v>3</v>
      </c>
      <c r="D16" s="2">
        <v>2</v>
      </c>
      <c r="E16" s="2">
        <v>2</v>
      </c>
      <c r="F16" s="2">
        <v>3</v>
      </c>
    </row>
    <row r="17" spans="1:11" ht="24" x14ac:dyDescent="0.35">
      <c r="A17" s="24" t="s">
        <v>26</v>
      </c>
      <c r="B17" s="3">
        <v>2</v>
      </c>
      <c r="C17" s="2">
        <v>2</v>
      </c>
      <c r="D17" s="2">
        <v>2</v>
      </c>
      <c r="E17" s="2">
        <v>2</v>
      </c>
      <c r="F17" s="2">
        <v>1</v>
      </c>
    </row>
    <row r="18" spans="1:11" ht="24" x14ac:dyDescent="0.35">
      <c r="A18" s="24" t="s">
        <v>27</v>
      </c>
      <c r="B18" s="3">
        <v>2</v>
      </c>
      <c r="C18" s="2">
        <v>2</v>
      </c>
      <c r="D18" s="2">
        <v>1</v>
      </c>
      <c r="E18" s="2">
        <v>1</v>
      </c>
      <c r="F18" s="2">
        <v>3</v>
      </c>
    </row>
    <row r="19" spans="1:11" ht="36" x14ac:dyDescent="0.35">
      <c r="A19" s="24" t="s">
        <v>43</v>
      </c>
      <c r="B19" s="3">
        <v>3</v>
      </c>
      <c r="C19" s="2">
        <v>2</v>
      </c>
      <c r="D19" s="2">
        <v>2</v>
      </c>
      <c r="E19" s="2">
        <v>1</v>
      </c>
      <c r="F19" s="2">
        <v>3</v>
      </c>
    </row>
    <row r="20" spans="1:11" x14ac:dyDescent="0.35">
      <c r="A20" s="24" t="s">
        <v>28</v>
      </c>
      <c r="B20" s="3">
        <v>4</v>
      </c>
      <c r="C20" s="2">
        <v>4</v>
      </c>
      <c r="D20" s="2">
        <v>4</v>
      </c>
      <c r="E20" s="2">
        <v>3</v>
      </c>
      <c r="F20" s="2">
        <v>3</v>
      </c>
    </row>
    <row r="21" spans="1:11" ht="36.5" thickBot="1" x14ac:dyDescent="0.4">
      <c r="A21" s="25" t="s">
        <v>29</v>
      </c>
      <c r="B21" s="4">
        <v>3</v>
      </c>
      <c r="C21" s="2">
        <v>3</v>
      </c>
      <c r="D21" s="2">
        <v>3</v>
      </c>
      <c r="E21" s="2">
        <v>3</v>
      </c>
      <c r="F21" s="2">
        <v>0</v>
      </c>
    </row>
    <row r="22" spans="1:11" ht="18.5" x14ac:dyDescent="0.35">
      <c r="A22" s="14"/>
      <c r="B22" s="61">
        <f>AVERAGE(B14:F14)+AVERAGE(B15:F15)+AVERAGE(B16:F16)+AVERAGE(B17:F17)+AVERAGE(B18:F18)+AVERAGE(B19:F19)+AVERAGE(B20:F20)+AVERAGE(B21:F21)</f>
        <v>18.600000000000001</v>
      </c>
      <c r="C22" s="62"/>
      <c r="D22" s="62"/>
      <c r="E22" s="62"/>
      <c r="F22" s="63"/>
      <c r="H22" s="15"/>
      <c r="I22" s="13"/>
      <c r="J22" s="13"/>
      <c r="K22" s="16"/>
    </row>
    <row r="23" spans="1:11" x14ac:dyDescent="0.35">
      <c r="A23" s="14"/>
      <c r="B23" s="17"/>
      <c r="C23" s="17"/>
      <c r="D23" s="17"/>
      <c r="E23" s="17"/>
      <c r="F23" s="17"/>
    </row>
    <row r="24" spans="1:11" ht="18.5" customHeight="1" x14ac:dyDescent="0.45">
      <c r="A24" s="5"/>
      <c r="B24" s="6" t="s">
        <v>33</v>
      </c>
    </row>
    <row r="25" spans="1:11" ht="18.5" customHeight="1" x14ac:dyDescent="0.45">
      <c r="A25" s="7" t="s">
        <v>32</v>
      </c>
      <c r="B25" s="8">
        <f>B26+B27</f>
        <v>37.200000000000003</v>
      </c>
      <c r="C25" s="76" t="s">
        <v>44</v>
      </c>
      <c r="D25" s="77"/>
      <c r="E25" s="77"/>
      <c r="F25" s="77"/>
      <c r="G25" s="11"/>
    </row>
    <row r="26" spans="1:11" ht="18.5" customHeight="1" x14ac:dyDescent="0.45">
      <c r="A26" s="7" t="s">
        <v>30</v>
      </c>
      <c r="B26" s="8">
        <f>B13</f>
        <v>18.599999999999998</v>
      </c>
      <c r="C26" s="76" t="s">
        <v>45</v>
      </c>
      <c r="D26" s="77"/>
      <c r="E26" s="77"/>
      <c r="F26" s="77"/>
      <c r="G26" s="11"/>
    </row>
    <row r="27" spans="1:11" ht="18.5" customHeight="1" x14ac:dyDescent="0.45">
      <c r="A27" s="7" t="s">
        <v>31</v>
      </c>
      <c r="B27" s="8">
        <f>B22</f>
        <v>18.600000000000001</v>
      </c>
      <c r="C27" s="76" t="s">
        <v>46</v>
      </c>
      <c r="D27" s="77"/>
      <c r="E27" s="77"/>
      <c r="F27" s="77"/>
      <c r="G27" s="11"/>
    </row>
    <row r="31" spans="1:11" x14ac:dyDescent="0.35">
      <c r="A31" s="57" t="s">
        <v>47</v>
      </c>
      <c r="B31" s="57"/>
      <c r="C31" s="57"/>
      <c r="D31" s="57"/>
    </row>
    <row r="32" spans="1:11" x14ac:dyDescent="0.35">
      <c r="A32" s="26"/>
      <c r="B32" s="27" t="s">
        <v>1</v>
      </c>
      <c r="C32" s="27" t="s">
        <v>0</v>
      </c>
      <c r="D32" s="28" t="s">
        <v>2</v>
      </c>
    </row>
    <row r="33" spans="1:4" x14ac:dyDescent="0.35">
      <c r="A33" s="29" t="s">
        <v>42</v>
      </c>
      <c r="B33" s="30">
        <f t="shared" ref="B33:B40" si="0">MAX(B5:F5)</f>
        <v>4</v>
      </c>
      <c r="C33" s="30">
        <f t="shared" ref="C33:C40" si="1">MIN(B5:F5)</f>
        <v>3</v>
      </c>
      <c r="D33" s="31">
        <f t="shared" ref="D33:D40" si="2">AVERAGE(B5:F5)</f>
        <v>3.2</v>
      </c>
    </row>
    <row r="34" spans="1:4" x14ac:dyDescent="0.35">
      <c r="A34" s="29" t="s">
        <v>8</v>
      </c>
      <c r="B34" s="30">
        <f t="shared" si="0"/>
        <v>3</v>
      </c>
      <c r="C34" s="30">
        <f t="shared" si="1"/>
        <v>1</v>
      </c>
      <c r="D34" s="31">
        <f t="shared" si="2"/>
        <v>1.8</v>
      </c>
    </row>
    <row r="35" spans="1:4" x14ac:dyDescent="0.35">
      <c r="A35" s="29" t="s">
        <v>9</v>
      </c>
      <c r="B35" s="30">
        <f t="shared" si="0"/>
        <v>4</v>
      </c>
      <c r="C35" s="30">
        <f t="shared" si="1"/>
        <v>0</v>
      </c>
      <c r="D35" s="31">
        <f t="shared" si="2"/>
        <v>2.8</v>
      </c>
    </row>
    <row r="36" spans="1:4" x14ac:dyDescent="0.35">
      <c r="A36" s="29" t="s">
        <v>10</v>
      </c>
      <c r="B36" s="30">
        <f t="shared" si="0"/>
        <v>4</v>
      </c>
      <c r="C36" s="30">
        <f t="shared" si="1"/>
        <v>0</v>
      </c>
      <c r="D36" s="31">
        <f t="shared" si="2"/>
        <v>2.6</v>
      </c>
    </row>
    <row r="37" spans="1:4" x14ac:dyDescent="0.35">
      <c r="A37" s="29" t="s">
        <v>12</v>
      </c>
      <c r="B37" s="30">
        <f t="shared" si="0"/>
        <v>3</v>
      </c>
      <c r="C37" s="30">
        <f t="shared" si="1"/>
        <v>2</v>
      </c>
      <c r="D37" s="31">
        <f t="shared" si="2"/>
        <v>2.8</v>
      </c>
    </row>
    <row r="38" spans="1:4" x14ac:dyDescent="0.35">
      <c r="A38" s="29" t="s">
        <v>13</v>
      </c>
      <c r="B38" s="30">
        <f t="shared" si="0"/>
        <v>3</v>
      </c>
      <c r="C38" s="30">
        <f t="shared" si="1"/>
        <v>0</v>
      </c>
      <c r="D38" s="31">
        <f t="shared" si="2"/>
        <v>1.4</v>
      </c>
    </row>
    <row r="39" spans="1:4" x14ac:dyDescent="0.35">
      <c r="A39" s="29" t="s">
        <v>11</v>
      </c>
      <c r="B39" s="30">
        <f t="shared" si="0"/>
        <v>3</v>
      </c>
      <c r="C39" s="30">
        <f t="shared" si="1"/>
        <v>2</v>
      </c>
      <c r="D39" s="31">
        <f t="shared" si="2"/>
        <v>2.8</v>
      </c>
    </row>
    <row r="40" spans="1:4" x14ac:dyDescent="0.35">
      <c r="A40" s="29" t="s">
        <v>14</v>
      </c>
      <c r="B40" s="30">
        <f t="shared" si="0"/>
        <v>3</v>
      </c>
      <c r="C40" s="30">
        <f t="shared" si="1"/>
        <v>0</v>
      </c>
      <c r="D40" s="31">
        <f t="shared" si="2"/>
        <v>1.2</v>
      </c>
    </row>
    <row r="41" spans="1:4" x14ac:dyDescent="0.35">
      <c r="A41" s="29"/>
      <c r="B41" s="30"/>
      <c r="C41" s="30"/>
      <c r="D41" s="31"/>
    </row>
    <row r="42" spans="1:4" x14ac:dyDescent="0.35">
      <c r="A42" s="29" t="s">
        <v>15</v>
      </c>
      <c r="B42" s="30">
        <f t="shared" ref="B42:B49" si="3">MAX(B14:F14)</f>
        <v>3</v>
      </c>
      <c r="C42" s="30">
        <f t="shared" ref="C42:C49" si="4">MIN(B14:F14)</f>
        <v>1</v>
      </c>
      <c r="D42" s="31">
        <f t="shared" ref="D42:D49" si="5">AVERAGE(B14:F14)</f>
        <v>2.4</v>
      </c>
    </row>
    <row r="43" spans="1:4" x14ac:dyDescent="0.35">
      <c r="A43" s="29" t="s">
        <v>16</v>
      </c>
      <c r="B43" s="30">
        <f t="shared" si="3"/>
        <v>3</v>
      </c>
      <c r="C43" s="30">
        <f t="shared" si="4"/>
        <v>0</v>
      </c>
      <c r="D43" s="31">
        <f t="shared" si="5"/>
        <v>1.8</v>
      </c>
    </row>
    <row r="44" spans="1:4" x14ac:dyDescent="0.35">
      <c r="A44" s="29" t="s">
        <v>17</v>
      </c>
      <c r="B44" s="30">
        <f t="shared" si="3"/>
        <v>3</v>
      </c>
      <c r="C44" s="30">
        <f t="shared" si="4"/>
        <v>2</v>
      </c>
      <c r="D44" s="31">
        <f t="shared" si="5"/>
        <v>2.6</v>
      </c>
    </row>
    <row r="45" spans="1:4" x14ac:dyDescent="0.35">
      <c r="A45" s="29" t="s">
        <v>18</v>
      </c>
      <c r="B45" s="30">
        <f t="shared" si="3"/>
        <v>2</v>
      </c>
      <c r="C45" s="30">
        <f t="shared" si="4"/>
        <v>1</v>
      </c>
      <c r="D45" s="31">
        <f t="shared" si="5"/>
        <v>1.8</v>
      </c>
    </row>
    <row r="46" spans="1:4" x14ac:dyDescent="0.35">
      <c r="A46" s="29" t="s">
        <v>19</v>
      </c>
      <c r="B46" s="30">
        <f>MAX(B18:F18)</f>
        <v>3</v>
      </c>
      <c r="C46" s="30">
        <f>MIN(B18:F18)</f>
        <v>1</v>
      </c>
      <c r="D46" s="31">
        <f>AVERAGE(B18:F18)</f>
        <v>1.8</v>
      </c>
    </row>
    <row r="47" spans="1:4" x14ac:dyDescent="0.35">
      <c r="A47" s="29" t="s">
        <v>20</v>
      </c>
      <c r="B47" s="30">
        <f t="shared" si="3"/>
        <v>3</v>
      </c>
      <c r="C47" s="30">
        <f t="shared" si="4"/>
        <v>1</v>
      </c>
      <c r="D47" s="31">
        <f t="shared" si="5"/>
        <v>2.2000000000000002</v>
      </c>
    </row>
    <row r="48" spans="1:4" x14ac:dyDescent="0.35">
      <c r="A48" s="29" t="s">
        <v>21</v>
      </c>
      <c r="B48" s="30">
        <f t="shared" si="3"/>
        <v>4</v>
      </c>
      <c r="C48" s="30">
        <f t="shared" si="4"/>
        <v>3</v>
      </c>
      <c r="D48" s="31">
        <f t="shared" si="5"/>
        <v>3.6</v>
      </c>
    </row>
    <row r="49" spans="1:4" ht="15" thickBot="1" x14ac:dyDescent="0.4">
      <c r="A49" s="32" t="s">
        <v>22</v>
      </c>
      <c r="B49" s="33">
        <f t="shared" si="3"/>
        <v>3</v>
      </c>
      <c r="C49" s="33">
        <f t="shared" si="4"/>
        <v>0</v>
      </c>
      <c r="D49" s="34">
        <f t="shared" si="5"/>
        <v>2.4</v>
      </c>
    </row>
  </sheetData>
  <sheetProtection sheet="1" objects="1" scenarios="1"/>
  <protectedRanges>
    <protectedRange sqref="B14:F21" name="Range2"/>
    <protectedRange sqref="B4:F12" name="Range1"/>
  </protectedRanges>
  <mergeCells count="6">
    <mergeCell ref="A31:D31"/>
    <mergeCell ref="C25:F25"/>
    <mergeCell ref="C26:F26"/>
    <mergeCell ref="C27:F27"/>
    <mergeCell ref="B13:F13"/>
    <mergeCell ref="B22:F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</sheetPr>
  <dimension ref="A1:J1"/>
  <sheetViews>
    <sheetView zoomScale="90" zoomScaleNormal="90" workbookViewId="0">
      <selection activeCell="M21" sqref="M21"/>
    </sheetView>
  </sheetViews>
  <sheetFormatPr defaultRowHeight="14.5" x14ac:dyDescent="0.35"/>
  <cols>
    <col min="1" max="16384" width="8.7265625" style="9"/>
  </cols>
  <sheetData>
    <row r="1" spans="1:10" ht="21" x14ac:dyDescent="0.5">
      <c r="A1" s="68" t="s">
        <v>61</v>
      </c>
      <c r="B1" s="71"/>
      <c r="C1" s="71"/>
      <c r="D1" s="71"/>
      <c r="E1" s="71"/>
      <c r="F1" s="71"/>
      <c r="G1" s="71"/>
      <c r="H1" s="71"/>
      <c r="I1" s="71"/>
      <c r="J1" s="71"/>
    </row>
  </sheetData>
  <sheetProtection sheet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</sheetPr>
  <dimension ref="A1:J1"/>
  <sheetViews>
    <sheetView zoomScaleNormal="100" workbookViewId="0">
      <selection activeCell="E20" sqref="E20"/>
    </sheetView>
  </sheetViews>
  <sheetFormatPr defaultRowHeight="14.5" x14ac:dyDescent="0.35"/>
  <cols>
    <col min="1" max="16384" width="8.7265625" style="9"/>
  </cols>
  <sheetData>
    <row r="1" spans="1:10" ht="21" x14ac:dyDescent="0.5">
      <c r="A1" s="68" t="s">
        <v>55</v>
      </c>
      <c r="B1" s="71"/>
      <c r="C1" s="71"/>
      <c r="D1" s="71"/>
      <c r="E1" s="71"/>
      <c r="F1" s="71"/>
      <c r="G1" s="71"/>
      <c r="H1" s="71"/>
      <c r="I1" s="71"/>
      <c r="J1" s="71"/>
    </row>
  </sheetData>
  <sheetProtection sheet="1" scenarios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79998168889431442"/>
  </sheetPr>
  <dimension ref="A1:J1"/>
  <sheetViews>
    <sheetView zoomScaleNormal="100" workbookViewId="0">
      <selection sqref="A1:J1"/>
    </sheetView>
  </sheetViews>
  <sheetFormatPr defaultRowHeight="14.5" x14ac:dyDescent="0.35"/>
  <cols>
    <col min="1" max="16384" width="8.7265625" style="9"/>
  </cols>
  <sheetData>
    <row r="1" spans="1:10" ht="21" x14ac:dyDescent="0.5">
      <c r="A1" s="68" t="s">
        <v>56</v>
      </c>
      <c r="B1" s="71"/>
      <c r="C1" s="71"/>
      <c r="D1" s="71"/>
      <c r="E1" s="71"/>
      <c r="F1" s="71"/>
      <c r="G1" s="71"/>
      <c r="H1" s="71"/>
      <c r="I1" s="71"/>
      <c r="J1" s="71"/>
    </row>
  </sheetData>
  <sheetProtection sheet="1" scenarios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79998168889431442"/>
  </sheetPr>
  <dimension ref="A1:J1"/>
  <sheetViews>
    <sheetView workbookViewId="0">
      <selection activeCell="B1" sqref="A1:J1"/>
    </sheetView>
  </sheetViews>
  <sheetFormatPr defaultRowHeight="14.5" x14ac:dyDescent="0.35"/>
  <cols>
    <col min="1" max="16384" width="8.7265625" style="9"/>
  </cols>
  <sheetData>
    <row r="1" spans="1:10" ht="21" x14ac:dyDescent="0.5">
      <c r="A1" s="68" t="s">
        <v>57</v>
      </c>
      <c r="B1" s="71"/>
      <c r="C1" s="71"/>
      <c r="D1" s="71"/>
      <c r="E1" s="71"/>
      <c r="F1" s="71"/>
      <c r="G1" s="71"/>
      <c r="H1" s="71"/>
      <c r="I1" s="71"/>
      <c r="J1" s="71"/>
    </row>
  </sheetData>
  <sheetProtection sheet="1" scenarios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79998168889431442"/>
  </sheetPr>
  <dimension ref="A1:J1"/>
  <sheetViews>
    <sheetView workbookViewId="0">
      <selection sqref="A1:J1"/>
    </sheetView>
  </sheetViews>
  <sheetFormatPr defaultRowHeight="14.5" x14ac:dyDescent="0.35"/>
  <cols>
    <col min="1" max="16384" width="8.7265625" style="9"/>
  </cols>
  <sheetData>
    <row r="1" spans="1:10" ht="21" x14ac:dyDescent="0.5">
      <c r="A1" s="68" t="s">
        <v>58</v>
      </c>
      <c r="B1" s="71"/>
      <c r="C1" s="71"/>
      <c r="D1" s="71"/>
      <c r="E1" s="71"/>
      <c r="F1" s="71"/>
      <c r="G1" s="71"/>
      <c r="H1" s="71"/>
      <c r="I1" s="71"/>
      <c r="J1" s="71"/>
    </row>
  </sheetData>
  <sheetProtection sheet="1" scenarios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79998168889431442"/>
  </sheetPr>
  <dimension ref="A1:J1"/>
  <sheetViews>
    <sheetView workbookViewId="0">
      <selection activeCell="B1" sqref="A1:J1"/>
    </sheetView>
  </sheetViews>
  <sheetFormatPr defaultRowHeight="14.5" x14ac:dyDescent="0.35"/>
  <cols>
    <col min="1" max="16384" width="8.7265625" style="9"/>
  </cols>
  <sheetData>
    <row r="1" spans="1:10" ht="21" x14ac:dyDescent="0.5">
      <c r="A1" s="68" t="s">
        <v>59</v>
      </c>
      <c r="B1" s="71"/>
      <c r="C1" s="71"/>
      <c r="D1" s="71"/>
      <c r="E1" s="71"/>
      <c r="F1" s="71"/>
      <c r="G1" s="71"/>
      <c r="H1" s="71"/>
      <c r="I1" s="71"/>
      <c r="J1" s="71"/>
    </row>
  </sheetData>
  <sheetProtection sheet="1" scenarios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79998168889431442"/>
  </sheetPr>
  <dimension ref="A1:J1"/>
  <sheetViews>
    <sheetView zoomScale="90" zoomScaleNormal="90" workbookViewId="0">
      <selection activeCell="B1" sqref="A1:J1"/>
    </sheetView>
  </sheetViews>
  <sheetFormatPr defaultRowHeight="14.5" x14ac:dyDescent="0.35"/>
  <cols>
    <col min="1" max="16384" width="8.7265625" style="9"/>
  </cols>
  <sheetData>
    <row r="1" spans="1:10" ht="21" x14ac:dyDescent="0.5">
      <c r="A1" s="68" t="s">
        <v>60</v>
      </c>
      <c r="B1" s="71"/>
      <c r="C1" s="71"/>
      <c r="D1" s="71"/>
      <c r="E1" s="71"/>
      <c r="F1" s="71"/>
      <c r="G1" s="71"/>
      <c r="H1" s="71"/>
      <c r="I1" s="71"/>
      <c r="J1" s="71"/>
    </row>
  </sheetData>
  <sheetProtection sheet="1" scenarios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50801-5067-454F-85AE-7492B72C8992}">
  <sheetPr>
    <tabColor rgb="FFFFFF00"/>
  </sheetPr>
  <dimension ref="A1:N63"/>
  <sheetViews>
    <sheetView topLeftCell="A11" zoomScale="90" zoomScaleNormal="90" workbookViewId="0">
      <selection activeCell="F8" sqref="F8"/>
    </sheetView>
  </sheetViews>
  <sheetFormatPr defaultRowHeight="14.5" x14ac:dyDescent="0.35"/>
  <cols>
    <col min="1" max="1" width="42" style="10" customWidth="1"/>
    <col min="2" max="2" width="12.1796875" style="9" bestFit="1" customWidth="1"/>
    <col min="3" max="3" width="15.1796875" style="9" customWidth="1"/>
    <col min="4" max="6" width="12.1796875" style="9" bestFit="1" customWidth="1"/>
    <col min="7" max="7" width="12.1796875" style="9" customWidth="1"/>
    <col min="8" max="8" width="12.1796875" style="11" customWidth="1"/>
    <col min="9" max="9" width="11.81640625" style="9" bestFit="1" customWidth="1"/>
    <col min="10" max="11" width="11.54296875" style="9" bestFit="1" customWidth="1"/>
    <col min="12" max="16384" width="8.7265625" style="9"/>
  </cols>
  <sheetData>
    <row r="1" spans="1:14" ht="21" x14ac:dyDescent="0.5">
      <c r="A1" s="68" t="s">
        <v>51</v>
      </c>
      <c r="B1" s="69"/>
      <c r="C1" s="69"/>
      <c r="D1" s="69"/>
      <c r="E1" s="69"/>
      <c r="F1" s="69"/>
      <c r="G1" s="69"/>
      <c r="H1" s="70"/>
      <c r="I1" s="71"/>
      <c r="J1" s="71"/>
      <c r="K1" s="71"/>
      <c r="L1" s="71"/>
      <c r="M1" s="71"/>
      <c r="N1" s="71"/>
    </row>
    <row r="2" spans="1:14" ht="15" thickBot="1" x14ac:dyDescent="0.4"/>
    <row r="3" spans="1:14" x14ac:dyDescent="0.35">
      <c r="A3" s="35" t="s">
        <v>49</v>
      </c>
      <c r="B3" s="36" t="s">
        <v>3</v>
      </c>
      <c r="C3" s="37" t="s">
        <v>7</v>
      </c>
      <c r="D3" s="37" t="s">
        <v>4</v>
      </c>
      <c r="E3" s="37" t="s">
        <v>5</v>
      </c>
      <c r="F3" s="38" t="s">
        <v>6</v>
      </c>
      <c r="G3" s="12"/>
      <c r="H3" s="41"/>
    </row>
    <row r="4" spans="1:14" ht="43.5" x14ac:dyDescent="0.35">
      <c r="A4" s="39" t="s">
        <v>50</v>
      </c>
      <c r="B4" s="1" t="s">
        <v>48</v>
      </c>
      <c r="C4" s="1" t="s">
        <v>48</v>
      </c>
      <c r="D4" s="1" t="s">
        <v>48</v>
      </c>
      <c r="E4" s="1" t="s">
        <v>48</v>
      </c>
      <c r="F4" s="1" t="s">
        <v>48</v>
      </c>
    </row>
    <row r="5" spans="1:14" ht="24" x14ac:dyDescent="0.35">
      <c r="A5" s="54" t="s">
        <v>34</v>
      </c>
      <c r="B5" s="2">
        <v>4</v>
      </c>
      <c r="C5" s="2">
        <v>4</v>
      </c>
      <c r="D5" s="2">
        <v>4</v>
      </c>
      <c r="E5" s="2">
        <v>3</v>
      </c>
      <c r="F5" s="2"/>
    </row>
    <row r="6" spans="1:14" ht="24" x14ac:dyDescent="0.35">
      <c r="A6" s="55" t="s">
        <v>35</v>
      </c>
      <c r="B6" s="2">
        <v>2</v>
      </c>
      <c r="C6" s="2">
        <v>1</v>
      </c>
      <c r="D6" s="2">
        <v>2</v>
      </c>
      <c r="E6" s="2">
        <v>2</v>
      </c>
      <c r="F6" s="2"/>
    </row>
    <row r="7" spans="1:14" ht="24" x14ac:dyDescent="0.35">
      <c r="A7" s="55" t="s">
        <v>36</v>
      </c>
      <c r="B7" s="2">
        <v>3</v>
      </c>
      <c r="C7" s="2">
        <v>3</v>
      </c>
      <c r="D7" s="2">
        <v>3</v>
      </c>
      <c r="E7" s="2">
        <v>2</v>
      </c>
      <c r="F7" s="2"/>
    </row>
    <row r="8" spans="1:14" ht="36" x14ac:dyDescent="0.35">
      <c r="A8" s="55" t="s">
        <v>37</v>
      </c>
      <c r="B8" s="2">
        <v>3</v>
      </c>
      <c r="C8" s="2">
        <v>4</v>
      </c>
      <c r="D8" s="2">
        <v>3</v>
      </c>
      <c r="E8" s="2">
        <v>3</v>
      </c>
      <c r="F8" s="2"/>
    </row>
    <row r="9" spans="1:14" ht="24" x14ac:dyDescent="0.35">
      <c r="A9" s="55" t="s">
        <v>38</v>
      </c>
      <c r="B9" s="2">
        <v>3</v>
      </c>
      <c r="C9" s="2">
        <v>3</v>
      </c>
      <c r="D9" s="2">
        <v>2</v>
      </c>
      <c r="E9" s="2">
        <v>2</v>
      </c>
      <c r="F9" s="2"/>
    </row>
    <row r="10" spans="1:14" ht="24" x14ac:dyDescent="0.35">
      <c r="A10" s="55" t="s">
        <v>39</v>
      </c>
      <c r="B10" s="2">
        <v>2</v>
      </c>
      <c r="C10" s="2">
        <v>2</v>
      </c>
      <c r="D10" s="2">
        <v>4</v>
      </c>
      <c r="E10" s="2">
        <v>2</v>
      </c>
      <c r="F10" s="2"/>
    </row>
    <row r="11" spans="1:14" ht="24" x14ac:dyDescent="0.35">
      <c r="A11" s="55" t="s">
        <v>40</v>
      </c>
      <c r="B11" s="2">
        <v>3</v>
      </c>
      <c r="C11" s="2">
        <v>2</v>
      </c>
      <c r="D11" s="2">
        <v>5</v>
      </c>
      <c r="E11" s="2">
        <v>2</v>
      </c>
      <c r="F11" s="2"/>
    </row>
    <row r="12" spans="1:14" ht="24" x14ac:dyDescent="0.35">
      <c r="A12" s="55" t="s">
        <v>41</v>
      </c>
      <c r="B12" s="2">
        <v>2</v>
      </c>
      <c r="C12" s="2">
        <v>2</v>
      </c>
      <c r="D12" s="2">
        <v>3</v>
      </c>
      <c r="E12" s="2">
        <v>2</v>
      </c>
      <c r="F12" s="2"/>
    </row>
    <row r="13" spans="1:14" ht="18.5" x14ac:dyDescent="0.35">
      <c r="A13" s="40"/>
      <c r="B13" s="65">
        <f>AVERAGE(B5:F5)+AVERAGE(B6:F6)+AVERAGE(B7:F7)+AVERAGE(B8:F8)+AVERAGE(B9:F9)+AVERAGE(B10:F10)+AVERAGE(B11:F11)+AVERAGE(B12:F12)</f>
        <v>21.75</v>
      </c>
      <c r="C13" s="66"/>
      <c r="D13" s="66"/>
      <c r="E13" s="66"/>
      <c r="F13" s="67"/>
    </row>
    <row r="14" spans="1:14" ht="24" x14ac:dyDescent="0.35">
      <c r="A14" s="55" t="s">
        <v>72</v>
      </c>
      <c r="B14" s="3">
        <v>2</v>
      </c>
      <c r="C14" s="2">
        <v>2</v>
      </c>
      <c r="D14" s="2">
        <v>4</v>
      </c>
      <c r="E14" s="2">
        <v>2</v>
      </c>
      <c r="F14" s="42"/>
    </row>
    <row r="15" spans="1:14" ht="24" x14ac:dyDescent="0.35">
      <c r="A15" s="55" t="s">
        <v>73</v>
      </c>
      <c r="B15" s="3">
        <v>2</v>
      </c>
      <c r="C15" s="2">
        <v>3</v>
      </c>
      <c r="D15" s="2">
        <v>2</v>
      </c>
      <c r="E15" s="2">
        <v>2</v>
      </c>
      <c r="F15" s="2"/>
    </row>
    <row r="16" spans="1:14" ht="24" x14ac:dyDescent="0.35">
      <c r="A16" s="55" t="s">
        <v>74</v>
      </c>
      <c r="B16" s="3">
        <v>3</v>
      </c>
      <c r="C16" s="2">
        <v>2</v>
      </c>
      <c r="D16" s="2">
        <v>4</v>
      </c>
      <c r="E16" s="2">
        <v>2</v>
      </c>
      <c r="F16" s="2"/>
    </row>
    <row r="17" spans="1:8" ht="24" x14ac:dyDescent="0.35">
      <c r="A17" s="55" t="s">
        <v>75</v>
      </c>
      <c r="B17" s="3">
        <v>2</v>
      </c>
      <c r="C17" s="2">
        <v>3</v>
      </c>
      <c r="D17" s="2">
        <v>3</v>
      </c>
      <c r="E17" s="2">
        <v>1</v>
      </c>
      <c r="F17" s="2"/>
    </row>
    <row r="18" spans="1:8" ht="36" x14ac:dyDescent="0.35">
      <c r="A18" s="55" t="s">
        <v>76</v>
      </c>
      <c r="B18" s="3">
        <v>1</v>
      </c>
      <c r="C18" s="2">
        <v>4</v>
      </c>
      <c r="D18" s="2">
        <v>3</v>
      </c>
      <c r="E18" s="2">
        <v>3</v>
      </c>
      <c r="F18" s="2"/>
    </row>
    <row r="19" spans="1:8" ht="36" x14ac:dyDescent="0.35">
      <c r="A19" s="55" t="s">
        <v>77</v>
      </c>
      <c r="B19" s="3">
        <v>3</v>
      </c>
      <c r="C19" s="2">
        <v>3</v>
      </c>
      <c r="D19" s="2">
        <v>2</v>
      </c>
      <c r="E19" s="2">
        <v>2</v>
      </c>
      <c r="F19" s="2"/>
    </row>
    <row r="20" spans="1:8" ht="24" x14ac:dyDescent="0.35">
      <c r="A20" s="55" t="s">
        <v>78</v>
      </c>
      <c r="B20" s="3">
        <v>2</v>
      </c>
      <c r="C20" s="2">
        <v>4</v>
      </c>
      <c r="D20" s="2">
        <v>4</v>
      </c>
      <c r="E20" s="2">
        <v>4</v>
      </c>
      <c r="F20" s="2"/>
    </row>
    <row r="21" spans="1:8" ht="36.5" thickBot="1" x14ac:dyDescent="0.4">
      <c r="A21" s="56" t="s">
        <v>79</v>
      </c>
      <c r="B21" s="4">
        <v>2</v>
      </c>
      <c r="C21" s="2">
        <v>4</v>
      </c>
      <c r="D21" s="2">
        <v>4</v>
      </c>
      <c r="E21" s="2">
        <v>3</v>
      </c>
      <c r="F21" s="2"/>
    </row>
    <row r="22" spans="1:8" ht="18.5" x14ac:dyDescent="0.35">
      <c r="B22" s="65">
        <f>AVERAGE(B14:F14)+AVERAGE(B15:F15)+AVERAGE(B16:F16)+AVERAGE(B17:F17)+AVERAGE(B18:F18)+AVERAGE(B19:F19)+AVERAGE(B20:F20)+AVERAGE(B21:F21)</f>
        <v>21.75</v>
      </c>
      <c r="C22" s="66"/>
      <c r="D22" s="66"/>
      <c r="E22" s="66"/>
      <c r="F22" s="67"/>
    </row>
    <row r="23" spans="1:8" x14ac:dyDescent="0.35">
      <c r="B23" s="17"/>
      <c r="C23" s="17"/>
      <c r="D23" s="17"/>
      <c r="E23" s="17"/>
      <c r="F23" s="17"/>
    </row>
    <row r="24" spans="1:8" ht="18.5" x14ac:dyDescent="0.45">
      <c r="A24" s="43"/>
      <c r="B24" s="44" t="s">
        <v>33</v>
      </c>
    </row>
    <row r="25" spans="1:8" ht="18.5" customHeight="1" x14ac:dyDescent="0.45">
      <c r="A25" s="45" t="s">
        <v>30</v>
      </c>
      <c r="B25" s="46">
        <f>B13</f>
        <v>21.75</v>
      </c>
      <c r="C25" s="72" t="s">
        <v>70</v>
      </c>
      <c r="D25" s="73"/>
      <c r="E25" s="73"/>
      <c r="F25" s="73"/>
      <c r="G25" s="73"/>
      <c r="H25" s="73"/>
    </row>
    <row r="26" spans="1:8" ht="18.5" customHeight="1" x14ac:dyDescent="0.45">
      <c r="A26" s="45" t="s">
        <v>31</v>
      </c>
      <c r="B26" s="46">
        <f>B22</f>
        <v>21.75</v>
      </c>
      <c r="C26" s="72" t="s">
        <v>71</v>
      </c>
      <c r="D26" s="73"/>
      <c r="E26" s="73"/>
      <c r="F26" s="73"/>
      <c r="G26" s="73"/>
      <c r="H26" s="73"/>
    </row>
    <row r="27" spans="1:8" ht="18.5" customHeight="1" x14ac:dyDescent="0.45">
      <c r="A27" s="45" t="s">
        <v>32</v>
      </c>
      <c r="B27" s="46">
        <f>B25+B26</f>
        <v>43.5</v>
      </c>
      <c r="C27" s="72" t="s">
        <v>69</v>
      </c>
      <c r="D27" s="73"/>
      <c r="E27" s="73"/>
      <c r="F27" s="73"/>
      <c r="G27" s="73"/>
      <c r="H27" s="73"/>
    </row>
    <row r="40" spans="1:4" ht="15" customHeight="1" x14ac:dyDescent="0.35">
      <c r="A40" s="64" t="s">
        <v>47</v>
      </c>
      <c r="B40" s="64"/>
      <c r="C40" s="64"/>
    </row>
    <row r="41" spans="1:4" x14ac:dyDescent="0.35">
      <c r="A41" s="50"/>
      <c r="B41" s="51" t="s">
        <v>53</v>
      </c>
      <c r="C41" s="51" t="s">
        <v>54</v>
      </c>
      <c r="D41" s="48"/>
    </row>
    <row r="42" spans="1:4" ht="29" x14ac:dyDescent="0.35">
      <c r="A42" s="52" t="s">
        <v>42</v>
      </c>
      <c r="B42" s="51">
        <f>'Svarene #1'!D33</f>
        <v>3.2</v>
      </c>
      <c r="C42" s="53">
        <f>AVERAGE(B5:F5)</f>
        <v>3.75</v>
      </c>
      <c r="D42" s="49"/>
    </row>
    <row r="43" spans="1:4" x14ac:dyDescent="0.35">
      <c r="A43" s="52" t="s">
        <v>8</v>
      </c>
      <c r="B43" s="51">
        <f>'Svarene #1'!D34</f>
        <v>1.8</v>
      </c>
      <c r="C43" s="53">
        <f t="shared" ref="C43" si="0">AVERAGE(B6:F6)</f>
        <v>1.75</v>
      </c>
      <c r="D43" s="49"/>
    </row>
    <row r="44" spans="1:4" x14ac:dyDescent="0.35">
      <c r="A44" s="52"/>
      <c r="B44" s="51" t="s">
        <v>53</v>
      </c>
      <c r="C44" s="51" t="s">
        <v>54</v>
      </c>
      <c r="D44" s="49"/>
    </row>
    <row r="45" spans="1:4" x14ac:dyDescent="0.35">
      <c r="A45" s="52" t="s">
        <v>9</v>
      </c>
      <c r="B45" s="51">
        <f>'Svarene #1'!D35</f>
        <v>2.8</v>
      </c>
      <c r="C45" s="53">
        <f>AVERAGE(B7:F7)</f>
        <v>2.75</v>
      </c>
      <c r="D45" s="49"/>
    </row>
    <row r="46" spans="1:4" ht="29" x14ac:dyDescent="0.35">
      <c r="A46" s="52" t="s">
        <v>10</v>
      </c>
      <c r="B46" s="51">
        <f>'Svarene #1'!D36</f>
        <v>2.6</v>
      </c>
      <c r="C46" s="53">
        <f>AVERAGE(B8:F8)</f>
        <v>3.25</v>
      </c>
      <c r="D46" s="49"/>
    </row>
    <row r="47" spans="1:4" x14ac:dyDescent="0.35">
      <c r="A47" s="52" t="s">
        <v>12</v>
      </c>
      <c r="B47" s="51">
        <f>'Svarene #1'!D37</f>
        <v>2.8</v>
      </c>
      <c r="C47" s="53">
        <f>AVERAGE(B9:F9)</f>
        <v>2.5</v>
      </c>
      <c r="D47" s="49"/>
    </row>
    <row r="48" spans="1:4" x14ac:dyDescent="0.35">
      <c r="A48" s="52"/>
      <c r="B48" s="51" t="s">
        <v>53</v>
      </c>
      <c r="C48" s="51" t="s">
        <v>54</v>
      </c>
      <c r="D48" s="49"/>
    </row>
    <row r="49" spans="1:4" x14ac:dyDescent="0.35">
      <c r="A49" s="52" t="s">
        <v>13</v>
      </c>
      <c r="B49" s="51">
        <f>'Svarene #1'!D38</f>
        <v>1.4</v>
      </c>
      <c r="C49" s="53">
        <f>AVERAGE(B10:F10)</f>
        <v>2.5</v>
      </c>
      <c r="D49" s="49"/>
    </row>
    <row r="50" spans="1:4" x14ac:dyDescent="0.35">
      <c r="A50" s="52" t="s">
        <v>11</v>
      </c>
      <c r="B50" s="51">
        <f>'Svarene #1'!D39</f>
        <v>2.8</v>
      </c>
      <c r="C50" s="53">
        <f>AVERAGE(B11:F11)</f>
        <v>3</v>
      </c>
      <c r="D50" s="49"/>
    </row>
    <row r="51" spans="1:4" x14ac:dyDescent="0.35">
      <c r="A51" s="52" t="s">
        <v>14</v>
      </c>
      <c r="B51" s="51">
        <f>'Svarene #1'!D40</f>
        <v>1.2</v>
      </c>
      <c r="C51" s="53">
        <f>AVERAGE(B12:F12)</f>
        <v>2.25</v>
      </c>
      <c r="D51" s="49"/>
    </row>
    <row r="52" spans="1:4" x14ac:dyDescent="0.35">
      <c r="A52" s="52"/>
      <c r="B52" s="51" t="s">
        <v>53</v>
      </c>
      <c r="C52" s="51" t="s">
        <v>54</v>
      </c>
      <c r="D52" s="49"/>
    </row>
    <row r="53" spans="1:4" x14ac:dyDescent="0.35">
      <c r="A53" s="52" t="s">
        <v>15</v>
      </c>
      <c r="B53" s="51">
        <f>'Svarene #1'!D42</f>
        <v>2.4</v>
      </c>
      <c r="C53" s="53">
        <f>AVERAGE(B14:F14)</f>
        <v>2.5</v>
      </c>
      <c r="D53" s="49"/>
    </row>
    <row r="54" spans="1:4" x14ac:dyDescent="0.35">
      <c r="A54" s="52" t="s">
        <v>16</v>
      </c>
      <c r="B54" s="51">
        <f>'Svarene #1'!D43</f>
        <v>1.8</v>
      </c>
      <c r="C54" s="53">
        <f>AVERAGE(B15:F15)</f>
        <v>2.25</v>
      </c>
      <c r="D54" s="49"/>
    </row>
    <row r="55" spans="1:4" x14ac:dyDescent="0.35">
      <c r="A55" s="52" t="s">
        <v>17</v>
      </c>
      <c r="B55" s="51">
        <f>'Svarene #1'!D44</f>
        <v>2.6</v>
      </c>
      <c r="C55" s="53">
        <f>AVERAGE(B16:F16)</f>
        <v>2.75</v>
      </c>
      <c r="D55" s="49"/>
    </row>
    <row r="56" spans="1:4" x14ac:dyDescent="0.35">
      <c r="A56" s="52" t="s">
        <v>18</v>
      </c>
      <c r="B56" s="51">
        <f>'Svarene #1'!D45</f>
        <v>1.8</v>
      </c>
      <c r="C56" s="53">
        <f>AVERAGE(B17:F17)</f>
        <v>2.25</v>
      </c>
      <c r="D56" s="49"/>
    </row>
    <row r="57" spans="1:4" x14ac:dyDescent="0.35">
      <c r="A57" s="52"/>
      <c r="B57" s="51" t="s">
        <v>53</v>
      </c>
      <c r="C57" s="51" t="s">
        <v>54</v>
      </c>
      <c r="D57" s="49"/>
    </row>
    <row r="58" spans="1:4" ht="29" x14ac:dyDescent="0.35">
      <c r="A58" s="52" t="s">
        <v>19</v>
      </c>
      <c r="B58" s="51">
        <f>'Svarene #1'!D46</f>
        <v>1.8</v>
      </c>
      <c r="C58" s="53">
        <f>AVERAGE(B18:F18)</f>
        <v>2.75</v>
      </c>
      <c r="D58" s="49"/>
    </row>
    <row r="59" spans="1:4" ht="29" x14ac:dyDescent="0.35">
      <c r="A59" s="52" t="s">
        <v>20</v>
      </c>
      <c r="B59" s="51">
        <f>'Svarene #1'!D47</f>
        <v>2.2000000000000002</v>
      </c>
      <c r="C59" s="53">
        <f>AVERAGE(B19:F19)</f>
        <v>2.5</v>
      </c>
      <c r="D59" s="49"/>
    </row>
    <row r="60" spans="1:4" x14ac:dyDescent="0.35">
      <c r="A60" s="52"/>
      <c r="B60" s="51" t="s">
        <v>53</v>
      </c>
      <c r="C60" s="51" t="s">
        <v>54</v>
      </c>
      <c r="D60" s="49"/>
    </row>
    <row r="61" spans="1:4" x14ac:dyDescent="0.35">
      <c r="A61" s="52" t="s">
        <v>21</v>
      </c>
      <c r="B61" s="51">
        <f>'Svarene #1'!D48</f>
        <v>3.6</v>
      </c>
      <c r="C61" s="53">
        <f>AVERAGE(B20:F20)</f>
        <v>3.5</v>
      </c>
      <c r="D61" s="49"/>
    </row>
    <row r="62" spans="1:4" x14ac:dyDescent="0.35">
      <c r="A62" s="52" t="s">
        <v>22</v>
      </c>
      <c r="B62" s="51">
        <f>'Svarene #1'!D49</f>
        <v>2.4</v>
      </c>
      <c r="C62" s="53">
        <f>AVERAGE(B21:F21)</f>
        <v>3.25</v>
      </c>
      <c r="D62" s="49"/>
    </row>
    <row r="63" spans="1:4" x14ac:dyDescent="0.35">
      <c r="A63" s="41"/>
      <c r="B63" s="12"/>
      <c r="C63" s="12"/>
      <c r="D63" s="47"/>
    </row>
  </sheetData>
  <sheetProtection sheet="1" objects="1" scenarios="1"/>
  <protectedRanges>
    <protectedRange sqref="B4:F12" name="Range2"/>
    <protectedRange sqref="B14:F21" name="Range1"/>
  </protectedRanges>
  <mergeCells count="6">
    <mergeCell ref="A40:C40"/>
    <mergeCell ref="B13:F13"/>
    <mergeCell ref="B22:F22"/>
    <mergeCell ref="C25:H25"/>
    <mergeCell ref="C26:H26"/>
    <mergeCell ref="C27:H2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34C8A-F782-4AC5-81C9-2A5D688490D7}">
  <sheetPr>
    <tabColor theme="8" tint="0.79998168889431442"/>
  </sheetPr>
  <dimension ref="A1:J1"/>
  <sheetViews>
    <sheetView zoomScaleNormal="100" workbookViewId="0">
      <selection sqref="A1:J1"/>
    </sheetView>
  </sheetViews>
  <sheetFormatPr defaultRowHeight="14.5" x14ac:dyDescent="0.35"/>
  <cols>
    <col min="10" max="10" width="11.36328125" customWidth="1"/>
  </cols>
  <sheetData>
    <row r="1" spans="1:10" ht="21" x14ac:dyDescent="0.5">
      <c r="A1" s="68" t="s">
        <v>62</v>
      </c>
      <c r="B1" s="71"/>
      <c r="C1" s="71"/>
      <c r="D1" s="71"/>
      <c r="E1" s="71"/>
      <c r="F1" s="71"/>
      <c r="G1" s="71"/>
      <c r="H1" s="71"/>
      <c r="I1" s="71"/>
      <c r="J1" s="71"/>
    </row>
  </sheetData>
  <sheetProtection sheet="1" scenarios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1AB03-56C1-4F51-823E-EE51FC76AB91}">
  <sheetPr>
    <tabColor theme="8" tint="0.79998168889431442"/>
  </sheetPr>
  <dimension ref="A1:J1"/>
  <sheetViews>
    <sheetView zoomScale="90" zoomScaleNormal="90" workbookViewId="0">
      <selection sqref="A1:J1"/>
    </sheetView>
  </sheetViews>
  <sheetFormatPr defaultRowHeight="14.5" x14ac:dyDescent="0.35"/>
  <cols>
    <col min="10" max="10" width="11.1796875" customWidth="1"/>
  </cols>
  <sheetData>
    <row r="1" spans="1:10" ht="21" x14ac:dyDescent="0.5">
      <c r="A1" s="68" t="s">
        <v>63</v>
      </c>
      <c r="B1" s="71"/>
      <c r="C1" s="71"/>
      <c r="D1" s="71"/>
      <c r="E1" s="71"/>
      <c r="F1" s="71"/>
      <c r="G1" s="71"/>
      <c r="H1" s="71"/>
      <c r="I1" s="71"/>
      <c r="J1" s="71"/>
    </row>
  </sheetData>
  <sheetProtection sheet="1" scenarios="1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45428-7E99-4E52-8290-F0246986D7F5}">
  <sheetPr>
    <tabColor theme="8" tint="0.79998168889431442"/>
  </sheetPr>
  <dimension ref="A1:J1"/>
  <sheetViews>
    <sheetView zoomScale="90" zoomScaleNormal="90" workbookViewId="0">
      <selection sqref="A1:J1"/>
    </sheetView>
  </sheetViews>
  <sheetFormatPr defaultRowHeight="14.5" x14ac:dyDescent="0.35"/>
  <cols>
    <col min="10" max="10" width="10.453125" customWidth="1"/>
  </cols>
  <sheetData>
    <row r="1" spans="1:10" ht="21" x14ac:dyDescent="0.5">
      <c r="A1" s="68" t="s">
        <v>64</v>
      </c>
      <c r="B1" s="71"/>
      <c r="C1" s="71"/>
      <c r="D1" s="71"/>
      <c r="E1" s="71"/>
      <c r="F1" s="71"/>
      <c r="G1" s="71"/>
      <c r="H1" s="71"/>
      <c r="I1" s="71"/>
      <c r="J1" s="71"/>
    </row>
  </sheetData>
  <sheetProtection sheet="1" scenarios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59607-E145-4267-B656-2B5E0070D33F}">
  <sheetPr>
    <tabColor theme="8" tint="0.79998168889431442"/>
  </sheetPr>
  <dimension ref="A1:J1"/>
  <sheetViews>
    <sheetView workbookViewId="0">
      <selection activeCell="B1" sqref="A1:J1"/>
    </sheetView>
  </sheetViews>
  <sheetFormatPr defaultRowHeight="14.5" x14ac:dyDescent="0.35"/>
  <cols>
    <col min="10" max="10" width="10.54296875" customWidth="1"/>
  </cols>
  <sheetData>
    <row r="1" spans="1:10" ht="21" x14ac:dyDescent="0.5">
      <c r="A1" s="68" t="s">
        <v>65</v>
      </c>
      <c r="B1" s="71"/>
      <c r="C1" s="71"/>
      <c r="D1" s="71"/>
      <c r="E1" s="71"/>
      <c r="F1" s="71"/>
      <c r="G1" s="71"/>
      <c r="H1" s="71"/>
      <c r="I1" s="71"/>
      <c r="J1" s="71"/>
    </row>
  </sheetData>
  <sheetProtection sheet="1" scenarios="1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B9C42-9F71-48D0-928C-E31D5401FEE3}">
  <sheetPr>
    <tabColor theme="8" tint="0.79998168889431442"/>
  </sheetPr>
  <dimension ref="A1:J1"/>
  <sheetViews>
    <sheetView workbookViewId="0">
      <selection sqref="A1:J1"/>
    </sheetView>
  </sheetViews>
  <sheetFormatPr defaultRowHeight="14.5" x14ac:dyDescent="0.35"/>
  <cols>
    <col min="10" max="10" width="11.08984375" customWidth="1"/>
  </cols>
  <sheetData>
    <row r="1" spans="1:10" ht="21" x14ac:dyDescent="0.5">
      <c r="A1" s="68" t="s">
        <v>66</v>
      </c>
      <c r="B1" s="71"/>
      <c r="C1" s="71"/>
      <c r="D1" s="71"/>
      <c r="E1" s="71"/>
      <c r="F1" s="71"/>
      <c r="G1" s="71"/>
      <c r="H1" s="71"/>
      <c r="I1" s="71"/>
      <c r="J1" s="71"/>
    </row>
  </sheetData>
  <sheetProtection sheet="1" scenarios="1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379E-5EF6-406B-9975-FA650D727BEF}">
  <sheetPr>
    <tabColor theme="8" tint="0.79998168889431442"/>
  </sheetPr>
  <dimension ref="A1:J1"/>
  <sheetViews>
    <sheetView workbookViewId="0">
      <selection sqref="A1:J1"/>
    </sheetView>
  </sheetViews>
  <sheetFormatPr defaultRowHeight="14.5" x14ac:dyDescent="0.35"/>
  <cols>
    <col min="10" max="10" width="10.08984375" customWidth="1"/>
  </cols>
  <sheetData>
    <row r="1" spans="1:10" ht="21" x14ac:dyDescent="0.5">
      <c r="A1" s="68" t="s">
        <v>67</v>
      </c>
      <c r="B1" s="71"/>
      <c r="C1" s="71"/>
      <c r="D1" s="71"/>
      <c r="E1" s="71"/>
      <c r="F1" s="71"/>
      <c r="G1" s="71"/>
      <c r="H1" s="71"/>
      <c r="I1" s="71"/>
      <c r="J1" s="71"/>
    </row>
  </sheetData>
  <sheetProtection sheet="1" scenarios="1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4AB1-BC12-48E2-B354-A97038FA368F}">
  <sheetPr>
    <tabColor theme="8" tint="0.79998168889431442"/>
  </sheetPr>
  <dimension ref="A1:J1"/>
  <sheetViews>
    <sheetView workbookViewId="0">
      <selection sqref="A1:J1"/>
    </sheetView>
  </sheetViews>
  <sheetFormatPr defaultRowHeight="14.5" x14ac:dyDescent="0.35"/>
  <cols>
    <col min="10" max="10" width="10.26953125" customWidth="1"/>
  </cols>
  <sheetData>
    <row r="1" spans="1:10" ht="21" x14ac:dyDescent="0.5">
      <c r="A1" s="68" t="s">
        <v>68</v>
      </c>
      <c r="B1" s="71"/>
      <c r="C1" s="71"/>
      <c r="D1" s="71"/>
      <c r="E1" s="71"/>
      <c r="F1" s="71"/>
      <c r="G1" s="71"/>
      <c r="H1" s="71"/>
      <c r="I1" s="71"/>
      <c r="J1" s="71"/>
    </row>
  </sheetData>
  <sheetProtection sheet="1" scenario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278A823AA16874EA3035DB363D0C73E" ma:contentTypeVersion="20" ma:contentTypeDescription="Opret et nyt dokument." ma:contentTypeScope="" ma:versionID="d4ecaa2b7d60508bf8f5c40eaba9cab0">
  <xsd:schema xmlns:xsd="http://www.w3.org/2001/XMLSchema" xmlns:xs="http://www.w3.org/2001/XMLSchema" xmlns:p="http://schemas.microsoft.com/office/2006/metadata/properties" xmlns:ns1="96415da4-2e86-4b9a-bc9b-7adb124d5349" xmlns:ns3="dc13e3c2-0df5-4dcb-a4d8-69f9b29ac67d" targetNamespace="http://schemas.microsoft.com/office/2006/metadata/properties" ma:root="true" ma:fieldsID="7871f3cb5fe373fd312c5405c9a0f8e4" ns1:_="" ns3:_="">
    <xsd:import namespace="96415da4-2e86-4b9a-bc9b-7adb124d5349"/>
    <xsd:import namespace="dc13e3c2-0df5-4dcb-a4d8-69f9b29ac67d"/>
    <xsd:element name="properties">
      <xsd:complexType>
        <xsd:sequence>
          <xsd:element name="documentManagement">
            <xsd:complexType>
              <xsd:all>
                <xsd:element ref="ns1:Sorteret_x003f_"/>
                <xsd:element ref="ns1:MediaServiceMetadata" minOccurs="0"/>
                <xsd:element ref="ns1:MediaServiceFastMetadata" minOccurs="0"/>
                <xsd:element ref="ns1:MediaServiceAutoTags" minOccurs="0"/>
                <xsd:element ref="ns1:MediaServiceOCR" minOccurs="0"/>
                <xsd:element ref="ns1:MediaServiceDateTaken" minOccurs="0"/>
                <xsd:element ref="ns1:MediaServiceLocation" minOccurs="0"/>
                <xsd:element ref="ns3:SharedWithUsers" minOccurs="0"/>
                <xsd:element ref="ns3:SharedWithDetails" minOccurs="0"/>
                <xsd:element ref="ns1:MediaServiceGenerationTime" minOccurs="0"/>
                <xsd:element ref="ns1:MediaServiceEventHashCode" minOccurs="0"/>
                <xsd:element ref="ns1:MediaServiceAutoKeyPoints" minOccurs="0"/>
                <xsd:element ref="ns1:MediaServiceKeyPoints" minOccurs="0"/>
                <xsd:element ref="ns1:MediaLengthInSeconds" minOccurs="0"/>
                <xsd:element ref="ns3:TaxCatchAll" minOccurs="0"/>
                <xsd:element ref="ns1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415da4-2e86-4b9a-bc9b-7adb124d5349" elementFormDefault="qualified">
    <xsd:import namespace="http://schemas.microsoft.com/office/2006/documentManagement/types"/>
    <xsd:import namespace="http://schemas.microsoft.com/office/infopath/2007/PartnerControls"/>
    <xsd:element name="Sorteret_x003f_" ma:index="0" ma:displayName="Sorteret?" ma:default="0" ma:description="Om alle elementer i mappen (eller bare filen) er sorteret til Q3 2021" ma:format="Dropdown" ma:internalName="Sorteret_x003f_" ma:readOnly="false">
      <xsd:simpleType>
        <xsd:restriction base="dms:Boolean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hidden="true" ma:internalName="MediaServiceAutoTags" ma:readOnly="true">
      <xsd:simpleType>
        <xsd:restriction base="dms:Text"/>
      </xsd:simpleType>
    </xsd:element>
    <xsd:element name="MediaServiceOCR" ma:index="11" nillable="true" ma:displayName="MediaServiceOCR" ma:hidden="true" ma:internalName="MediaServiceOCR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hidden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hidden="true" ma:internalName="MediaServiceKeyPoints" ma:readOnly="true">
      <xsd:simpleType>
        <xsd:restriction base="dms:Note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04a856ca-9d43-4718-a42d-87064d62a5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13e3c2-0df5-4dcb-a4d8-69f9b29ac67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00aba3af-fa9f-48b0-882e-bc3f03dd0928}" ma:internalName="TaxCatchAll" ma:showField="CatchAllData" ma:web="dc13e3c2-0df5-4dcb-a4d8-69f9b29ac6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Indholdstype"/>
        <xsd:element ref="dc:title" minOccurs="0" maxOccurs="1" ma:index="2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orteret_x003f_ xmlns="96415da4-2e86-4b9a-bc9b-7adb124d5349">false</Sorteret_x003f_>
    <TaxCatchAll xmlns="dc13e3c2-0df5-4dcb-a4d8-69f9b29ac67d" xsi:nil="true"/>
    <lcf76f155ced4ddcb4097134ff3c332f xmlns="96415da4-2e86-4b9a-bc9b-7adb124d534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F5B16A-996F-4B22-B1BF-91EEF4D807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415da4-2e86-4b9a-bc9b-7adb124d5349"/>
    <ds:schemaRef ds:uri="dc13e3c2-0df5-4dcb-a4d8-69f9b29ac6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8F544A-7CA3-4D55-A6A3-67CB87DE73B1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dc13e3c2-0df5-4dcb-a4d8-69f9b29ac67d"/>
    <ds:schemaRef ds:uri="http://schemas.openxmlformats.org/package/2006/metadata/core-properties"/>
    <ds:schemaRef ds:uri="http://schemas.microsoft.com/office/2006/documentManagement/types"/>
    <ds:schemaRef ds:uri="96415da4-2e86-4b9a-bc9b-7adb124d5349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BA81290-A438-4239-81C1-0A1F5AC2EF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Svarene #1</vt:lpstr>
      <vt:lpstr>Score #1</vt:lpstr>
      <vt:lpstr>1. Viden, kompetencer</vt:lpstr>
      <vt:lpstr>2. Kultur, mindset</vt:lpstr>
      <vt:lpstr>3. Værktøjer, mål, indikatorer</vt:lpstr>
      <vt:lpstr>4. Netværk</vt:lpstr>
      <vt:lpstr>5. B.samarbejde</vt:lpstr>
      <vt:lpstr>6. Åbenhed</vt:lpstr>
      <vt:lpstr>Svarene #2</vt:lpstr>
      <vt:lpstr>Score #2</vt:lpstr>
      <vt:lpstr>1. Viden, kompetencer #2</vt:lpstr>
      <vt:lpstr>2. Kultur, mindset #2</vt:lpstr>
      <vt:lpstr>3. Værktøjer, mål #2</vt:lpstr>
      <vt:lpstr>4. Netværk #2</vt:lpstr>
      <vt:lpstr>5. B.samarbejde #2</vt:lpstr>
      <vt:lpstr>6. Åbenhed #2</vt:lpstr>
      <vt:lpstr>'Svarene #1'!Print_Area</vt:lpstr>
    </vt:vector>
  </TitlesOfParts>
  <Company>Aalborg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Leonie Schlüter</dc:creator>
  <cp:lastModifiedBy>Leonie Schlüter</cp:lastModifiedBy>
  <cp:lastPrinted>2023-02-07T10:44:22Z</cp:lastPrinted>
  <dcterms:created xsi:type="dcterms:W3CDTF">2021-10-13T09:09:20Z</dcterms:created>
  <dcterms:modified xsi:type="dcterms:W3CDTF">2023-06-01T09:26:40Z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0x010100D278A823AA16874EA3035DB363D0C73E</vt:lpwstr>
  </property>
  <property fmtid="{D5CDD505-2E9C-101B-9397-08002B2CF9AE}" pid="3" name="MediaServiceImageTags">
    <vt:lpwstr/>
  </property>
</Properties>
</file>
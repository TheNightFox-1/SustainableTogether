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F_Conv" sheetId="3" state="visible" r:id="rId5"/>
    <sheet name="CF_Regen" sheetId="4" state="visible" r:id="rId6"/>
    <sheet name="CF_Future" sheetId="5" state="visible" r:id="rId7"/>
    <sheet name="KPIs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<sst xmlns="http://schemas.openxmlformats.org/spreadsheetml/2006/main" count="604" uniqueCount="312">
  <si>
    <t xml:space="preserve">SustainaSun — Regenerative PV Business Model</t>
  </si>
  <si>
    <t xml:space="preserve">Parametric Financial Model — Reference Architecture v0.1</t>
  </si>
  <si>
    <t xml:space="preserve">Question this model answers</t>
  </si>
  <si>
    <t xml:space="preserve">Can a regenerative PV business model be profitable — and under what conditions?</t>
  </si>
  <si>
    <t xml:space="preserve">Verdict (Regenerative scenario, base-case assumptions)</t>
  </si>
  <si>
    <t xml:space="preserve">Regenerative equity IRR (target ≥ 8%)</t>
  </si>
  <si>
    <t xml:space="preserve">Regenerative NPV at 5% discount (€)</t>
  </si>
  <si>
    <t xml:space="preserve">Verdict</t>
  </si>
  <si>
    <t xml:space="preserve">How to use this model</t>
  </si>
  <si>
    <t xml:space="preserve">1. Open the Assumptions sheet. Every blue cell is editable. Change any value to test a different assumption.</t>
  </si>
  <si>
    <t xml:space="preserve">2. Three scenario columns are pre-loaded: Conventional (baseline), Regenerative (today), Future (2030 outlook).</t>
  </si>
  <si>
    <t xml:space="preserve">3. Cashflow sheets (CF_Conv, CF_Regen, CF_Future) compute a full 30-year project finance cashflow from those assumptions.</t>
  </si>
  <si>
    <t xml:space="preserve">4. The KPIs sheet shows side-by-side outputs: equity IRR, project IRR, NPV at 5%/8%/10%, LCOE, LVOE, payback, DSCR.</t>
  </si>
  <si>
    <t xml:space="preserve">5. The Sensitivity sheet shows how the Regenerative case equity IRR responds to ±20% perturbations of each key driver.</t>
  </si>
  <si>
    <t xml:space="preserve">6. When you change an assumption, all dependent values recalculate automatically.</t>
  </si>
  <si>
    <t xml:space="preserve">Sheet structure</t>
  </si>
  <si>
    <t xml:space="preserve">README</t>
  </si>
  <si>
    <t xml:space="preserve">This sheet — purpose, verdict, instructions, colour legend.</t>
  </si>
  <si>
    <t xml:space="preserve">Assumptions</t>
  </si>
  <si>
    <t xml:space="preserve">All inputs. Blue = editable hardcoded value. Three scenario columns + notes.</t>
  </si>
  <si>
    <t xml:space="preserve">CF_Conv</t>
  </si>
  <si>
    <t xml:space="preserve">30-year cashflow for the Conventional baseline scenario (energy only, no regenerative streams).</t>
  </si>
  <si>
    <t xml:space="preserve">CF_Regen</t>
  </si>
  <si>
    <t xml:space="preserve">30-year cashflow for the Regenerative scenario — agrivoltaic + low-carbon premium + community equity tranche.</t>
  </si>
  <si>
    <t xml:space="preserve">CF_Future</t>
  </si>
  <si>
    <t xml:space="preserve">30-year cashflow for the Future scenario — adds biodiversity credits and DPP licensing at 2030 prices.</t>
  </si>
  <si>
    <t xml:space="preserve">KPIs</t>
  </si>
  <si>
    <t xml:space="preserve">Side-by-side outputs for all three scenarios. The verdict on this sheet.</t>
  </si>
  <si>
    <t xml:space="preserve">Sensitivity</t>
  </si>
  <si>
    <t xml:space="preserve">One-way sensitivity on Regenerative equity IRR. Identifies the most impactful variables.</t>
  </si>
  <si>
    <t xml:space="preserve">Colour legend</t>
  </si>
  <si>
    <t xml:space="preserve">Blue text</t>
  </si>
  <si>
    <t xml:space="preserve">Hardcoded input value — editable by user</t>
  </si>
  <si>
    <t xml:space="preserve">Black text</t>
  </si>
  <si>
    <t xml:space="preserve">Formula or computed value — do not overwrite</t>
  </si>
  <si>
    <t xml:space="preserve">Green text</t>
  </si>
  <si>
    <t xml:space="preserve">Cross-sheet link — points to another sheet</t>
  </si>
  <si>
    <t xml:space="preserve">Yellow background</t>
  </si>
  <si>
    <t xml:space="preserve">Key assumption needing attention or stress-testing</t>
  </si>
  <si>
    <t xml:space="preserve">License &amp; Project</t>
  </si>
  <si>
    <t xml:space="preserve">MIT License. Part of SustainableTogether (INCOSE Sustainability Working Group).</t>
  </si>
  <si>
    <t xml:space="preserve">Repository: https://github.com/TheNightFox-1/SustainableTogether</t>
  </si>
  <si>
    <t xml:space="preserve">Assumptions — all editable inputs (blue cells)</t>
  </si>
  <si>
    <t xml:space="preserve">Parameter</t>
  </si>
  <si>
    <t xml:space="preserve">Unit</t>
  </si>
  <si>
    <t xml:space="preserve">Conventional</t>
  </si>
  <si>
    <t xml:space="preserve">Regenerative</t>
  </si>
  <si>
    <t xml:space="preserve">Future</t>
  </si>
  <si>
    <t xml:space="preserve">Notes / Source</t>
  </si>
  <si>
    <t xml:space="preserve">PROJECT PARAMETERS</t>
  </si>
  <si>
    <t xml:space="preserve">Installed capacity</t>
  </si>
  <si>
    <t xml:space="preserve">kWp</t>
  </si>
  <si>
    <t xml:space="preserve">Reference utility/community-scale project. Change to scale model.</t>
  </si>
  <si>
    <t xml:space="preserve">Specific yield (Year 1)</t>
  </si>
  <si>
    <t xml:space="preserve">kWh/kWp/yr</t>
  </si>
  <si>
    <t xml:space="preserve">EU mid-latitude. Agrivoltaic mounting -3-5% vs. conventional. Source: Fraunhofer ISE.</t>
  </si>
  <si>
    <t xml:space="preserve">Module degradation</t>
  </si>
  <si>
    <t xml:space="preserve">%/yr</t>
  </si>
  <si>
    <t xml:space="preserve">TOPCon/HJT performance warranty. Source: IEA-PVPS Task 13.</t>
  </si>
  <si>
    <t xml:space="preserve">Project life</t>
  </si>
  <si>
    <t xml:space="preserve">years</t>
  </si>
  <si>
    <t xml:space="preserve">Design life of c-Si modules.</t>
  </si>
  <si>
    <t xml:space="preserve">Land area</t>
  </si>
  <si>
    <t xml:space="preserve">ha</t>
  </si>
  <si>
    <t xml:space="preserve">Agrivoltaic projects use ~10-20% more land (lower density).</t>
  </si>
  <si>
    <t xml:space="preserve">CAPEX (€/Wp)</t>
  </si>
  <si>
    <t xml:space="preserve">Modules</t>
  </si>
  <si>
    <t xml:space="preserve">€/Wp</t>
  </si>
  <si>
    <t xml:space="preserve">Low-carbon traceable modules +20-30% over spot. Source: Aiko / Meyer Burger 2025 indicative.</t>
  </si>
  <si>
    <t xml:space="preserve">Inverters + BoS</t>
  </si>
  <si>
    <t xml:space="preserve">EU 2026 market.</t>
  </si>
  <si>
    <t xml:space="preserve">Mounting (disassemblable for regen)</t>
  </si>
  <si>
    <t xml:space="preserve">+10-20% for bolted/demountable design.</t>
  </si>
  <si>
    <t xml:space="preserve">Civil + EPC</t>
  </si>
  <si>
    <t xml:space="preserve">Low-disturbance protocol for regen.</t>
  </si>
  <si>
    <t xml:space="preserve">Grid connection</t>
  </si>
  <si>
    <t xml:space="preserve">Site-dependent; assumed equal across scenarios.</t>
  </si>
  <si>
    <t xml:space="preserve">Development + permitting</t>
  </si>
  <si>
    <t xml:space="preserve">Regen includes community engagement upfront (€50-100k fixed).</t>
  </si>
  <si>
    <t xml:space="preserve">Contingency</t>
  </si>
  <si>
    <t xml:space="preserve">% of CAPEX</t>
  </si>
  <si>
    <t xml:space="preserve">Higher for regen due to first-of-kind elements.</t>
  </si>
  <si>
    <t xml:space="preserve">REVENUE — ENERGY</t>
  </si>
  <si>
    <t xml:space="preserve">PPA price Year 1</t>
  </si>
  <si>
    <t xml:space="preserve">€/MWh</t>
  </si>
  <si>
    <t xml:space="preserve">EU corporate PPA Q1 2026 range €55-70. Source: Pexapark, LevelTen.</t>
  </si>
  <si>
    <t xml:space="preserve">PPA escalator</t>
  </si>
  <si>
    <t xml:space="preserve">Inflation-indexed structure.</t>
  </si>
  <si>
    <t xml:space="preserve">PPA tenor</t>
  </si>
  <si>
    <t xml:space="preserve">Longer tenor for regen-positioned offtake.</t>
  </si>
  <si>
    <t xml:space="preserve">Merchant tail price (real)</t>
  </si>
  <si>
    <t xml:space="preserve">Years after PPA tenor. High uncertainty.</t>
  </si>
  <si>
    <t xml:space="preserve">REVENUE — REGENERATIVE PREMIUMS</t>
  </si>
  <si>
    <t xml:space="preserve">Low-carbon attribute premium</t>
  </si>
  <si>
    <t xml:space="preserve">Verified low-gCO2/kWh module sourcing. FR CRE + voluntary corporate PPAs.</t>
  </si>
  <si>
    <t xml:space="preserve">Agrivoltaic premium / co-revenue</t>
  </si>
  <si>
    <t xml:space="preserve">FR agrivoltaic decree; DE EEG §37; IT DM. None for conv.</t>
  </si>
  <si>
    <t xml:space="preserve">Biodiversity credit revenue</t>
  </si>
  <si>
    <t xml:space="preserve">Not bankable in EU today; modelled in Future only.</t>
  </si>
  <si>
    <t xml:space="preserve">DPP / data licensing</t>
  </si>
  <si>
    <t xml:space="preserve">Forward-looking, post-ESPR PV scope.</t>
  </si>
  <si>
    <t xml:space="preserve">Community grant revenue</t>
  </si>
  <si>
    <t xml:space="preserve">€/yr</t>
  </si>
  <si>
    <t xml:space="preserve">Energy-poverty/social-tariff programmes. Programme-dependent.</t>
  </si>
  <si>
    <t xml:space="preserve">REVENUE — END OF LIFE (YEAR 30)</t>
  </si>
  <si>
    <t xml:space="preserve">Material recovery gross revenue</t>
  </si>
  <si>
    <t xml:space="preserve">€/kWp</t>
  </si>
  <si>
    <t xml:space="preserve">Glass + Al + Si + Ag. Source: IRENA EOL 2022. Future: improved recovery.</t>
  </si>
  <si>
    <t xml:space="preserve">Decommissioning cost</t>
  </si>
  <si>
    <t xml:space="preserve">Higher for regen due to careful disassembly; offset by recovery rev.</t>
  </si>
  <si>
    <t xml:space="preserve">OPERATING COSTS</t>
  </si>
  <si>
    <t xml:space="preserve">O&amp;M</t>
  </si>
  <si>
    <t xml:space="preserve">€/kWp/yr</t>
  </si>
  <si>
    <t xml:space="preserve">Regen includes ecological monitoring partnership.</t>
  </si>
  <si>
    <t xml:space="preserve">O&amp;M escalation</t>
  </si>
  <si>
    <t xml:space="preserve">Inflation-indexed.</t>
  </si>
  <si>
    <t xml:space="preserve">Land lease (net of agri uplift)</t>
  </si>
  <si>
    <t xml:space="preserve">€/ha/yr</t>
  </si>
  <si>
    <t xml:space="preserve">Regen: farmer accepts lower lease in exchange for soil stewardship.</t>
  </si>
  <si>
    <t xml:space="preserve">Insurance</t>
  </si>
  <si>
    <t xml:space="preserve">% of CAPEX/yr</t>
  </si>
  <si>
    <t xml:space="preserve">Industry standard.</t>
  </si>
  <si>
    <t xml:space="preserve">CSRD + DPP compliance (SPV allocation)</t>
  </si>
  <si>
    <t xml:space="preserve">SPV-level allocation of parent-company CSRD effort. Reduce per project as portfolio scales.</t>
  </si>
  <si>
    <t xml:space="preserve">Community governance</t>
  </si>
  <si>
    <t xml:space="preserve">Cooperative secretariat, AGM, reporting to members.</t>
  </si>
  <si>
    <t xml:space="preserve">EOL reserve contribution</t>
  </si>
  <si>
    <t xml:space="preserve">Ring-fenced fund for Year 30 decommissioning + recycling.</t>
  </si>
  <si>
    <t xml:space="preserve">CAPITAL STRUCTURE</t>
  </si>
  <si>
    <t xml:space="preserve">Senior debt share</t>
  </si>
  <si>
    <t xml:space="preserve">Project finance norm. Regen lower due to community tranche.</t>
  </si>
  <si>
    <t xml:space="preserve">Cost of senior debt</t>
  </si>
  <si>
    <t xml:space="preserve">% nominal</t>
  </si>
  <si>
    <t xml:space="preserve">Green bond aligned for regen. Source: EIB / commercial spreads 2026.</t>
  </si>
  <si>
    <t xml:space="preserve">Debt tenor</t>
  </si>
  <si>
    <t xml:space="preserve">Sculpted to DSCR; longer for green-aligned.</t>
  </si>
  <si>
    <t xml:space="preserve">Community equity share</t>
  </si>
  <si>
    <t xml:space="preserve">Cooperative tranche. 0 for conv.</t>
  </si>
  <si>
    <t xml:space="preserve">Cost of community equity</t>
  </si>
  <si>
    <t xml:space="preserve">% return expected</t>
  </si>
  <si>
    <t xml:space="preserve">Below commercial; cooperative-member return.</t>
  </si>
  <si>
    <t xml:space="preserve">Commercial equity share</t>
  </si>
  <si>
    <t xml:space="preserve">Residual. Conv: 40%. Regen: 25%. Future: 15%.</t>
  </si>
  <si>
    <t xml:space="preserve">Cost of commercial equity (hurdle)</t>
  </si>
  <si>
    <t xml:space="preserve">% return target</t>
  </si>
  <si>
    <t xml:space="preserve">Sponsor IRR target.</t>
  </si>
  <si>
    <t xml:space="preserve">Depreciation life</t>
  </si>
  <si>
    <t xml:space="preserve">Straight-line, fiscal.</t>
  </si>
  <si>
    <t xml:space="preserve">Corporate tax rate</t>
  </si>
  <si>
    <t xml:space="preserve">%</t>
  </si>
  <si>
    <t xml:space="preserve">EU average. Adjust for jurisdiction.</t>
  </si>
  <si>
    <t xml:space="preserve">DISCOUNT RATES (FOR NPV / LCOE)</t>
  </si>
  <si>
    <t xml:space="preserve">Discount rate — low</t>
  </si>
  <si>
    <t xml:space="preserve">Sovereign / EU taxonomy reference.</t>
  </si>
  <si>
    <t xml:space="preserve">Discount rate — base</t>
  </si>
  <si>
    <t xml:space="preserve">Conventional project IRR target.</t>
  </si>
  <si>
    <t xml:space="preserve">Discount rate — high</t>
  </si>
  <si>
    <t xml:space="preserve">Stress / sponsor view.</t>
  </si>
  <si>
    <t xml:space="preserve">CALCULATED TOTALS (formula)</t>
  </si>
  <si>
    <t xml:space="preserve">Total CAPEX (€/Wp)</t>
  </si>
  <si>
    <t xml:space="preserve">Total CAPEX (€)</t>
  </si>
  <si>
    <t xml:space="preserve">Year 1 generation (MWh)</t>
  </si>
  <si>
    <t xml:space="preserve">Senior debt drawn (€)</t>
  </si>
  <si>
    <t xml:space="preserve">Community equity (€)</t>
  </si>
  <si>
    <t xml:space="preserve">Commercial equity (€)</t>
  </si>
  <si>
    <t xml:space="preserve">Blended WACC (informational)</t>
  </si>
  <si>
    <t xml:space="preserve">Cashflow — Conventional scenario</t>
  </si>
  <si>
    <t xml:space="preserve">All values link to Assumptions sheet column C. Edit Assumptions to change scenario.</t>
  </si>
  <si>
    <t xml:space="preserve">Line item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</si>
  <si>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</si>
  <si>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</si>
  <si>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</si>
  <si>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</si>
  <si>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</si>
  <si>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</si>
  <si>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</si>
  <si>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</si>
  <si>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</si>
  <si>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</si>
  <si>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</si>
  <si>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</si>
  <si>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</si>
  <si>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</si>
  <si>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</si>
  <si>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</si>
  <si>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</si>
  <si>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</si>
  <si>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</si>
  <si>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</si>
  <si>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</si>
  <si>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</si>
  <si>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</si>
  <si>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</si>
  <si>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</si>
  <si>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</si>
  <si>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</si>
  <si>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</si>
  <si>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</si>
  <si>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</si>
  <si>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</si>
  <si>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GENERATION</t>
  </si>
  <si>
    <t xml:space="preserve">Generation</t>
  </si>
  <si>
    <t xml:space="preserve">MWh</t>
  </si>
  <si>
    <t xml:space="preserve">REVENUE</t>
  </si>
  <si>
    <t xml:space="preserve">PPA energy revenue</t>
  </si>
  <si>
    <t xml:space="preserve">€</t>
  </si>
  <si>
    <t xml:space="preserve">Agrivoltaic co-revenue / premium</t>
  </si>
  <si>
    <t xml:space="preserve">Community / energy-access grant</t>
  </si>
  <si>
    <t xml:space="preserve">EOL material recovery (Year 30)</t>
  </si>
  <si>
    <t xml:space="preserve">Total revenue</t>
  </si>
  <si>
    <t xml:space="preserve">CSRD + DPP compliance</t>
  </si>
  <si>
    <t xml:space="preserve">Decommissioning (Year 30)</t>
  </si>
  <si>
    <t xml:space="preserve">Total operating costs</t>
  </si>
  <si>
    <t xml:space="preserve">EBITDA</t>
  </si>
  <si>
    <t xml:space="preserve">DEPRECIATION, INTEREST, TAX</t>
  </si>
  <si>
    <t xml:space="preserve">Depreciation (straight-line)</t>
  </si>
  <si>
    <t xml:space="preserve">Debt opening balance</t>
  </si>
  <si>
    <t xml:space="preserve">Interest expense</t>
  </si>
  <si>
    <t xml:space="preserve">Principal repayment</t>
  </si>
  <si>
    <t xml:space="preserve">Debt closing balance</t>
  </si>
  <si>
    <t xml:space="preserve">EBT (Earnings before tax)</t>
  </si>
  <si>
    <t xml:space="preserve">Tax (only on positive EBT)</t>
  </si>
  <si>
    <t xml:space="preserve">Net income</t>
  </si>
  <si>
    <t xml:space="preserve">CASHFLOW SUMMARY</t>
  </si>
  <si>
    <t xml:space="preserve">CFADS (after-tax, pre-debt)</t>
  </si>
  <si>
    <t xml:space="preserve">DSCR (CFADS / debt service)</t>
  </si>
  <si>
    <t xml:space="preserve">x</t>
  </si>
  <si>
    <t xml:space="preserve">CAPEX</t>
  </si>
  <si>
    <t xml:space="preserve">Project FCF (unlevered, post-tax)</t>
  </si>
  <si>
    <t xml:space="preserve">Equity FCF (levered, post-tax)</t>
  </si>
  <si>
    <t xml:space="preserve">Cumulative project FCF</t>
  </si>
  <si>
    <t xml:space="preserve">Cumulative discounted FCF (@ disc_mid)</t>
  </si>
  <si>
    <t xml:space="preserve">Cashflow — Regenerative scenario</t>
  </si>
  <si>
    <t xml:space="preserve">All values link to Assumptions sheet column D. Edit Assumptions to change scenario.</t>
  </si>
  <si>
    <t xml:space="preserve">Cashflow — Future (2030) scenario</t>
  </si>
  <si>
    <t xml:space="preserve">All values link to Assumptions sheet column E. Edit Assumptions to change scenario.</t>
  </si>
  <si>
    <t xml:space="preserve">Key Performance Indicators — all three scenarios</t>
  </si>
  <si>
    <t xml:space="preserve">KPI</t>
  </si>
  <si>
    <t xml:space="preserve">Target / Comment</t>
  </si>
  <si>
    <t xml:space="preserve">PROFITABILITY METRICS</t>
  </si>
  <si>
    <t xml:space="preserve">Equity IRR</t>
  </si>
  <si>
    <t xml:space="preserve">Target ≥ 8% for parity; ≥ 10% premium</t>
  </si>
  <si>
    <t xml:space="preserve">Project IRR (unlevered, post-tax)</t>
  </si>
  <si>
    <t xml:space="preserve">Reflects asset-level economics</t>
  </si>
  <si>
    <t xml:space="preserve">NPV — Project FCF</t>
  </si>
  <si>
    <t xml:space="preserve">NPV at 5%</t>
  </si>
  <si>
    <t xml:space="preserve">EU taxonomy / sovereign discount</t>
  </si>
  <si>
    <t xml:space="preserve">NPV at 8%</t>
  </si>
  <si>
    <t xml:space="preserve">Conventional project hurdle</t>
  </si>
  <si>
    <t xml:space="preserve">NPV at 10%</t>
  </si>
  <si>
    <t xml:space="preserve">Sponsor / stress view</t>
  </si>
  <si>
    <t xml:space="preserve">UNIT ECONOMICS</t>
  </si>
  <si>
    <t xml:space="preserve">LCOE (energy-only, real)</t>
  </si>
  <si>
    <t xml:space="preserve">Conventional benchmark</t>
  </si>
  <si>
    <t xml:space="preserve">LVOE (all revenue streams, real)</t>
  </si>
  <si>
    <t xml:space="preserve">Should exceed LCOE</t>
  </si>
  <si>
    <t xml:space="preserve">LVOE – LCOE spread (margin per MWh)</t>
  </si>
  <si>
    <t xml:space="preserve">Positive = project creates value above cost</t>
  </si>
  <si>
    <t xml:space="preserve">LIQUIDITY &amp; RISK</t>
  </si>
  <si>
    <t xml:space="preserve">Simple payback (project)</t>
  </si>
  <si>
    <t xml:space="preserve">yr</t>
  </si>
  <si>
    <t xml:space="preserve">Years until cumulative FCF &gt; 0</t>
  </si>
  <si>
    <t xml:space="preserve">Discounted payback (@ 8%)</t>
  </si>
  <si>
    <t xml:space="preserve">Years until cumulative discounted FCF &gt; 0</t>
  </si>
  <si>
    <t xml:space="preserve">Min DSCR (financeable years only)</t>
  </si>
  <si>
    <t xml:space="preserve">Bank covenant ≥ 1.30</t>
  </si>
  <si>
    <t xml:space="preserve">Avg DSCR</t>
  </si>
  <si>
    <t xml:space="preserve">Target ≥ 1.40</t>
  </si>
  <si>
    <t xml:space="preserve">VALUE FLOWS (30-YEAR NPV @ 8%)</t>
  </si>
  <si>
    <t xml:space="preserve">NPV total revenue</t>
  </si>
  <si>
    <t xml:space="preserve">Total value created (gross)</t>
  </si>
  <si>
    <t xml:space="preserve">NPV total OPEX</t>
  </si>
  <si>
    <t xml:space="preserve">Negative = costs</t>
  </si>
  <si>
    <t xml:space="preserve">Total CAPEX</t>
  </si>
  <si>
    <t xml:space="preserve">Year 0</t>
  </si>
  <si>
    <t xml:space="preserve">VERDICT</t>
  </si>
  <si>
    <t xml:space="preserve">Equity IRR ≥ 8% threshold?</t>
  </si>
  <si>
    <t xml:space="preserve">Investment-committee benchmark</t>
  </si>
  <si>
    <t xml:space="preserve">NPV @ 5% (≈ WACC) positive?</t>
  </si>
  <si>
    <t xml:space="preserve">Project creates value at WACC discount</t>
  </si>
  <si>
    <t xml:space="preserve">Min DSCR ≥ 1.30?</t>
  </si>
  <si>
    <t xml:space="preserve">Bank-financeable</t>
  </si>
  <si>
    <t xml:space="preserve">OVERALL VERDICT (Regenerative)</t>
  </si>
  <si>
    <t xml:space="preserve">Sensitivity Analysis — Regenerative Scenario Equity IRR</t>
  </si>
  <si>
    <t xml:space="preserve">How equity IRR responds to ±20% perturbation of each input. Variables ranked by impact magnitude.</t>
  </si>
  <si>
    <t xml:space="preserve">Manual sensitivity (recommended)</t>
  </si>
  <si>
    <t xml:space="preserve">To test any single assumption: go to Assumptions sheet, change the Regenerative column value (column D), and observe KPIs!D5 (equity IRR).</t>
  </si>
  <si>
    <t xml:space="preserve">The pre-computed table below shows ±20% perturbations of the most material drivers, computed via shadow cashflows.</t>
  </si>
  <si>
    <t xml:space="preserve">Shadow cashflows replicate the full 30-year CF_Regen logic with one input perturbed. They are stored in rows 30+ for inspection.</t>
  </si>
  <si>
    <t xml:space="preserve">Tornado: ±20% perturbation of key drivers</t>
  </si>
  <si>
    <t xml:space="preserve">Driver</t>
  </si>
  <si>
    <t xml:space="preserve">Base value</t>
  </si>
  <si>
    <t xml:space="preserve">-20% value</t>
  </si>
  <si>
    <t xml:space="preserve">+20% value</t>
  </si>
  <si>
    <t xml:space="preserve">IRR @ -20%</t>
  </si>
  <si>
    <t xml:space="preserve">IRR base</t>
  </si>
  <si>
    <t xml:space="preserve">IRR @ +20%</t>
  </si>
  <si>
    <t xml:space="preserve">Range (pp)</t>
  </si>
  <si>
    <t xml:space="preserve">Capacity factor (yield)</t>
  </si>
  <si>
    <t xml:space="preserve">PPA price (Y1)</t>
  </si>
  <si>
    <t xml:space="preserve">CAPEX (€/Wp total)</t>
  </si>
  <si>
    <t xml:space="preserve">Debt LTV share</t>
  </si>
  <si>
    <t xml:space="preserve">O&amp;M cost</t>
  </si>
  <si>
    <t xml:space="preserve">Land lease (net)</t>
  </si>
  <si>
    <t xml:space="preserve">Low-carbon premium</t>
  </si>
  <si>
    <t xml:space="preserve">Agrivoltaic premium</t>
  </si>
  <si>
    <t xml:space="preserve">Interpretation</t>
  </si>
  <si>
    <t xml:space="preserve">The 'Range (pp)' column shows the spread between -20% and +20% IRR outcomes in percentage points.</t>
  </si>
  <si>
    <t xml:space="preserve">Larger range = more impactful driver. Top variables in this list are where the model is most exposed to assumption error.</t>
  </si>
  <si>
    <t xml:space="preserve">Note: sensitivities computed via Python simulation that mirrors the Excel cashflow logic exactly.</t>
  </si>
  <si>
    <t xml:space="preserve">To verify any single sensitivity manually: edit the relevant cell in Assumptions (column D, Regenerative), then read IRR from KPIs!D5.</t>
  </si>
  <si>
    <t xml:space="preserve">Two-factor stress tests (e.g. low PPA × high cost of debt) should be done by toggling two assumptions simultaneously.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</si>
</sst>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\€#,##0;&quot;(€&quot;#,##0\);\-"/>
    <numFmt numFmtId="167" formatCode="#,##0;\(#,##0\);\-"/>
    <numFmt numFmtId="168" formatCode="0.00;\(0.00\);\-"/>
    <numFmt numFmtId="169" formatCode="0.000;\(0.000\);\-"/>
    <numFmt numFmtId="170" formatCode="0.00\x"/>
    <numFmt numFmtId="171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0061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5F2D"/>
        <bgColor rgb="FF006100"/>
      </patternFill>
    </fill>
    <fill>
      <patternFill patternType="solid">
        <fgColor rgb="FFD6E5D6"/>
        <bgColor rgb="FFC6EFCE"/>
      </patternFill>
    </fill>
    <fill>
      <patternFill patternType="solid">
        <fgColor rgb="FFC6EFCE"/>
        <bgColor rgb="FFD6E5D6"/>
      </patternFill>
    </fill>
    <fill>
      <patternFill patternType="solid">
        <fgColor rgb="FFFFFF99"/>
        <bgColor rgb="FFFFFFCC"/>
      </patternFill>
    </fill>
    <fill>
      <patternFill patternType="solid">
        <fgColor rgb="FF4A7B4C"/>
        <bgColor rgb="FF2C5F2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5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7B4C"/>
      <rgbColor rgb="FF0061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5" min="3" style="0" width="25"/>
  </cols>
  <sheetData>
    <row r="2" customFormat="false" ht="37.5" hidden="false" customHeight="true" outlineLevel="0" collapsed="false">
      <c r="B2" s="1" t="s">
        <v>0</v>
      </c>
      <c r="C2" s="1"/>
      <c r="D2" s="1"/>
      <c r="E2" s="1"/>
    </row>
    <row r="3" customFormat="false" ht="18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/>
      <c r="D5" s="3"/>
      <c r="E5" s="3"/>
    </row>
    <row r="6" customFormat="false" ht="21.75" hidden="false" customHeight="true" outlineLevel="0" collapsed="false">
      <c r="B6" s="0" t="s">
        <v>3</v>
      </c>
    </row>
    <row r="8" customFormat="false" ht="15" hidden="false" customHeight="false" outlineLevel="0" collapsed="false">
      <c r="B8" s="3" t="s">
        <v>4</v>
      </c>
      <c r="C8" s="3"/>
      <c r="D8" s="3"/>
      <c r="E8" s="3"/>
    </row>
    <row r="9" customFormat="false" ht="15" hidden="false" customHeight="false" outlineLevel="0" collapsed="false">
      <c r="B9" s="0" t="s">
        <v>5</v>
      </c>
      <c r="C9" s="4" t="n">
        <f aca="false">KPIs!D5</f>
        <v>0.0961265309305861</v>
      </c>
    </row>
    <row r="10" customFormat="false" ht="15" hidden="false" customHeight="false" outlineLevel="0" collapsed="false">
      <c r="B10" s="0" t="s">
        <v>6</v>
      </c>
      <c r="C10" s="5" t="n">
        <f aca="false">KPIs!D8</f>
        <v>445545.770668635</v>
      </c>
    </row>
    <row r="11" customFormat="false" ht="27.75" hidden="false" customHeight="true" outlineLevel="0" collapsed="false">
      <c r="B11" s="0" t="s">
        <v>7</v>
      </c>
      <c r="C11" s="6" t="str">
        <f aca="false">IF(KPIs!D5&gt;=0.08,"PROFITABLE","BELOW TARGET")</f>
        <v>PROFITABLE</v>
      </c>
    </row>
    <row r="13" customFormat="false" ht="15" hidden="false" customHeight="false" outlineLevel="0" collapsed="false">
      <c r="B13" s="3" t="s">
        <v>8</v>
      </c>
      <c r="C13" s="3"/>
      <c r="D13" s="3"/>
      <c r="E13" s="3"/>
    </row>
    <row r="14" customFormat="false" ht="18" hidden="false" customHeight="true" outlineLevel="0" collapsed="false">
      <c r="B14" s="7" t="s">
        <v>9</v>
      </c>
      <c r="C14" s="7"/>
      <c r="D14" s="7"/>
      <c r="E14" s="7"/>
    </row>
    <row r="15" customFormat="false" ht="18" hidden="false" customHeight="true" outlineLevel="0" collapsed="false">
      <c r="B15" s="7" t="s">
        <v>10</v>
      </c>
      <c r="C15" s="7"/>
      <c r="D15" s="7"/>
      <c r="E15" s="7"/>
    </row>
    <row r="16" customFormat="false" ht="18" hidden="false" customHeight="true" outlineLevel="0" collapsed="false">
      <c r="B16" s="7" t="s">
        <v>11</v>
      </c>
      <c r="C16" s="7"/>
      <c r="D16" s="7"/>
      <c r="E16" s="7"/>
    </row>
    <row r="17" customFormat="false" ht="18" hidden="false" customHeight="true" outlineLevel="0" collapsed="false">
      <c r="B17" s="7" t="s">
        <v>12</v>
      </c>
      <c r="C17" s="7"/>
      <c r="D17" s="7"/>
      <c r="E17" s="7"/>
    </row>
    <row r="18" customFormat="false" ht="18" hidden="false" customHeight="true" outlineLevel="0" collapsed="false">
      <c r="B18" s="7" t="s">
        <v>13</v>
      </c>
      <c r="C18" s="7"/>
      <c r="D18" s="7"/>
      <c r="E18" s="7"/>
    </row>
    <row r="19" customFormat="false" ht="18" hidden="false" customHeight="true" outlineLevel="0" collapsed="false">
      <c r="B19" s="7" t="s">
        <v>14</v>
      </c>
      <c r="C19" s="7"/>
      <c r="D19" s="7"/>
      <c r="E19" s="7"/>
    </row>
    <row r="22" customFormat="false" ht="15" hidden="false" customHeight="false" outlineLevel="0" collapsed="false">
      <c r="B22" s="3" t="s">
        <v>15</v>
      </c>
      <c r="C22" s="3"/>
      <c r="D22" s="3"/>
      <c r="E22" s="3"/>
    </row>
    <row r="23" customFormat="false" ht="18" hidden="false" customHeight="true" outlineLevel="0" collapsed="false">
      <c r="B23" s="8" t="s">
        <v>16</v>
      </c>
      <c r="C23" s="7" t="s">
        <v>17</v>
      </c>
      <c r="D23" s="7"/>
      <c r="E23" s="7"/>
    </row>
    <row r="24" customFormat="false" ht="18" hidden="false" customHeight="true" outlineLevel="0" collapsed="false">
      <c r="B24" s="8" t="s">
        <v>18</v>
      </c>
      <c r="C24" s="7" t="s">
        <v>19</v>
      </c>
      <c r="D24" s="7"/>
      <c r="E24" s="7"/>
    </row>
    <row r="25" customFormat="false" ht="18" hidden="false" customHeight="true" outlineLevel="0" collapsed="false">
      <c r="B25" s="8" t="s">
        <v>20</v>
      </c>
      <c r="C25" s="7" t="s">
        <v>21</v>
      </c>
      <c r="D25" s="7"/>
      <c r="E25" s="7"/>
    </row>
    <row r="26" customFormat="false" ht="18" hidden="false" customHeight="true" outlineLevel="0" collapsed="false">
      <c r="B26" s="8" t="s">
        <v>22</v>
      </c>
      <c r="C26" s="7" t="s">
        <v>23</v>
      </c>
      <c r="D26" s="7"/>
      <c r="E26" s="7"/>
    </row>
    <row r="27" customFormat="false" ht="18" hidden="false" customHeight="true" outlineLevel="0" collapsed="false">
      <c r="B27" s="8" t="s">
        <v>24</v>
      </c>
      <c r="C27" s="7" t="s">
        <v>25</v>
      </c>
      <c r="D27" s="7"/>
      <c r="E27" s="7"/>
    </row>
    <row r="28" customFormat="false" ht="18" hidden="false" customHeight="true" outlineLevel="0" collapsed="false">
      <c r="B28" s="8" t="s">
        <v>26</v>
      </c>
      <c r="C28" s="7" t="s">
        <v>27</v>
      </c>
      <c r="D28" s="7"/>
      <c r="E28" s="7"/>
    </row>
    <row r="29" customFormat="false" ht="18" hidden="false" customHeight="true" outlineLevel="0" collapsed="false">
      <c r="B29" s="8" t="s">
        <v>28</v>
      </c>
      <c r="C29" s="7" t="s">
        <v>29</v>
      </c>
      <c r="D29" s="7"/>
      <c r="E29" s="7"/>
    </row>
    <row r="31" customFormat="false" ht="15" hidden="false" customHeight="false" outlineLevel="0" collapsed="false">
      <c r="B31" s="3" t="s">
        <v>30</v>
      </c>
      <c r="C31" s="3"/>
      <c r="D31" s="3"/>
      <c r="E31" s="3"/>
    </row>
    <row r="32" customFormat="false" ht="15" hidden="false" customHeight="false" outlineLevel="0" collapsed="false">
      <c r="B32" s="9" t="s">
        <v>31</v>
      </c>
      <c r="C32" s="7" t="s">
        <v>32</v>
      </c>
      <c r="D32" s="7"/>
      <c r="E32" s="7"/>
    </row>
    <row r="33" customFormat="false" ht="15" hidden="false" customHeight="false" outlineLevel="0" collapsed="false">
      <c r="B33" s="10" t="s">
        <v>33</v>
      </c>
      <c r="C33" s="7" t="s">
        <v>34</v>
      </c>
      <c r="D33" s="7"/>
      <c r="E33" s="7"/>
    </row>
    <row r="34" customFormat="false" ht="15" hidden="false" customHeight="false" outlineLevel="0" collapsed="false">
      <c r="B34" s="11" t="s">
        <v>35</v>
      </c>
      <c r="C34" s="7" t="s">
        <v>36</v>
      </c>
      <c r="D34" s="7"/>
      <c r="E34" s="7"/>
    </row>
    <row r="35" customFormat="false" ht="15" hidden="false" customHeight="false" outlineLevel="0" collapsed="false">
      <c r="B35" s="12" t="s">
        <v>37</v>
      </c>
      <c r="C35" s="7" t="s">
        <v>38</v>
      </c>
      <c r="D35" s="7"/>
      <c r="E35" s="7"/>
    </row>
    <row r="38" customFormat="false" ht="15" hidden="false" customHeight="false" outlineLevel="0" collapsed="false">
      <c r="B38" s="3" t="s">
        <v>39</v>
      </c>
      <c r="C38" s="3"/>
      <c r="D38" s="3"/>
      <c r="E38" s="3"/>
    </row>
    <row r="39" customFormat="false" ht="15" hidden="false" customHeight="false" outlineLevel="0" collapsed="false">
      <c r="B39" s="13" t="s">
        <v>40</v>
      </c>
      <c r="C39" s="13"/>
      <c r="D39" s="13"/>
      <c r="E39" s="13"/>
    </row>
    <row r="40" customFormat="false" ht="15" hidden="false" customHeight="false" outlineLevel="0" collapsed="false">
      <c r="B40" s="13" t="s">
        <v>41</v>
      </c>
      <c r="C40" s="13"/>
      <c r="D40" s="13"/>
      <c r="E40" s="13"/>
    </row>
  </sheetData>
  <mergeCells count="27">
    <mergeCell ref="B2:E2"/>
    <mergeCell ref="B3:E3"/>
    <mergeCell ref="B5:E5"/>
    <mergeCell ref="B8:E8"/>
    <mergeCell ref="B13:E13"/>
    <mergeCell ref="B14:E14"/>
    <mergeCell ref="B15:E15"/>
    <mergeCell ref="B16:E16"/>
    <mergeCell ref="B17:E17"/>
    <mergeCell ref="B18:E18"/>
    <mergeCell ref="B19:E19"/>
    <mergeCell ref="B22:E22"/>
    <mergeCell ref="C23:E23"/>
    <mergeCell ref="C24:E24"/>
    <mergeCell ref="C25:E25"/>
    <mergeCell ref="C26:E26"/>
    <mergeCell ref="C27:E27"/>
    <mergeCell ref="C28:E28"/>
    <mergeCell ref="C29:E29"/>
    <mergeCell ref="B31:E31"/>
    <mergeCell ref="C32:E32"/>
    <mergeCell ref="C33:E33"/>
    <mergeCell ref="C34:E34"/>
    <mergeCell ref="C35:E35"/>
    <mergeCell ref="B38:E38"/>
    <mergeCell ref="B39:E39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14" t="s">
        <v>43</v>
      </c>
      <c r="B3" s="14" t="s">
        <v>44</v>
      </c>
      <c r="C3" s="14" t="s">
        <v>45</v>
      </c>
      <c r="D3" s="14" t="s">
        <v>46</v>
      </c>
      <c r="E3" s="14" t="s">
        <v>47</v>
      </c>
      <c r="F3" s="14" t="s">
        <v>48</v>
      </c>
    </row>
    <row r="4" customFormat="false" ht="19.5" hidden="false" customHeight="true" outlineLevel="0" collapsed="false">
      <c r="A4" s="15" t="s">
        <v>49</v>
      </c>
      <c r="B4" s="16"/>
      <c r="C4" s="16"/>
      <c r="D4" s="16"/>
      <c r="E4" s="16"/>
      <c r="F4" s="16"/>
    </row>
    <row r="5" customFormat="false" ht="23.85" hidden="false" customHeight="false" outlineLevel="0" collapsed="false">
      <c r="A5" s="10" t="s">
        <v>50</v>
      </c>
      <c r="B5" s="17" t="s">
        <v>51</v>
      </c>
      <c r="C5" s="18" t="n">
        <v>5000</v>
      </c>
      <c r="D5" s="18" t="n">
        <v>5000</v>
      </c>
      <c r="E5" s="18" t="n">
        <v>5000</v>
      </c>
      <c r="F5" s="19" t="s">
        <v>52</v>
      </c>
    </row>
    <row r="6" customFormat="false" ht="23.85" hidden="false" customHeight="false" outlineLevel="0" collapsed="false">
      <c r="A6" s="10" t="s">
        <v>53</v>
      </c>
      <c r="B6" s="17" t="s">
        <v>54</v>
      </c>
      <c r="C6" s="18" t="n">
        <v>1226</v>
      </c>
      <c r="D6" s="18" t="n">
        <v>1180</v>
      </c>
      <c r="E6" s="18" t="n">
        <v>1180</v>
      </c>
      <c r="F6" s="19" t="s">
        <v>55</v>
      </c>
    </row>
    <row r="7" customFormat="false" ht="23.85" hidden="false" customHeight="false" outlineLevel="0" collapsed="false">
      <c r="A7" s="10" t="s">
        <v>56</v>
      </c>
      <c r="B7" s="17" t="s">
        <v>57</v>
      </c>
      <c r="C7" s="20" t="n">
        <v>0.005</v>
      </c>
      <c r="D7" s="20" t="n">
        <v>0.005</v>
      </c>
      <c r="E7" s="20" t="n">
        <v>0.005</v>
      </c>
      <c r="F7" s="19" t="s">
        <v>58</v>
      </c>
    </row>
    <row r="8" customFormat="false" ht="15" hidden="false" customHeight="false" outlineLevel="0" collapsed="false">
      <c r="A8" s="10" t="s">
        <v>59</v>
      </c>
      <c r="B8" s="17" t="s">
        <v>60</v>
      </c>
      <c r="C8" s="18" t="n">
        <v>30</v>
      </c>
      <c r="D8" s="18" t="n">
        <v>30</v>
      </c>
      <c r="E8" s="18" t="n">
        <v>30</v>
      </c>
      <c r="F8" s="19" t="s">
        <v>61</v>
      </c>
    </row>
    <row r="9" customFormat="false" ht="15" hidden="false" customHeight="false" outlineLevel="0" collapsed="false">
      <c r="A9" s="10" t="s">
        <v>62</v>
      </c>
      <c r="B9" s="17" t="s">
        <v>63</v>
      </c>
      <c r="C9" s="21" t="n">
        <v>7</v>
      </c>
      <c r="D9" s="21" t="n">
        <v>8</v>
      </c>
      <c r="E9" s="21" t="n">
        <v>8</v>
      </c>
      <c r="F9" s="19" t="s">
        <v>64</v>
      </c>
    </row>
    <row r="11" customFormat="false" ht="19.5" hidden="false" customHeight="true" outlineLevel="0" collapsed="false">
      <c r="A11" s="15" t="s">
        <v>65</v>
      </c>
      <c r="B11" s="16"/>
      <c r="C11" s="16"/>
      <c r="D11" s="16"/>
      <c r="E11" s="16"/>
      <c r="F11" s="16"/>
    </row>
    <row r="12" customFormat="false" ht="23.85" hidden="false" customHeight="false" outlineLevel="0" collapsed="false">
      <c r="A12" s="10" t="s">
        <v>66</v>
      </c>
      <c r="B12" s="17" t="s">
        <v>67</v>
      </c>
      <c r="C12" s="22" t="n">
        <v>0.1</v>
      </c>
      <c r="D12" s="22" t="n">
        <v>0.12</v>
      </c>
      <c r="E12" s="22" t="n">
        <v>0.12</v>
      </c>
      <c r="F12" s="19" t="s">
        <v>68</v>
      </c>
    </row>
    <row r="13" customFormat="false" ht="15" hidden="false" customHeight="false" outlineLevel="0" collapsed="false">
      <c r="A13" s="10" t="s">
        <v>69</v>
      </c>
      <c r="B13" s="17" t="s">
        <v>67</v>
      </c>
      <c r="C13" s="23" t="n">
        <v>0.09</v>
      </c>
      <c r="D13" s="23" t="n">
        <v>0.09</v>
      </c>
      <c r="E13" s="23" t="n">
        <v>0.09</v>
      </c>
      <c r="F13" s="19" t="s">
        <v>70</v>
      </c>
    </row>
    <row r="14" customFormat="false" ht="15" hidden="false" customHeight="false" outlineLevel="0" collapsed="false">
      <c r="A14" s="10" t="s">
        <v>71</v>
      </c>
      <c r="B14" s="17" t="s">
        <v>67</v>
      </c>
      <c r="C14" s="23" t="n">
        <v>0.07</v>
      </c>
      <c r="D14" s="23" t="n">
        <v>0.08</v>
      </c>
      <c r="E14" s="23" t="n">
        <v>0.08</v>
      </c>
      <c r="F14" s="19" t="s">
        <v>72</v>
      </c>
    </row>
    <row r="15" customFormat="false" ht="15" hidden="false" customHeight="false" outlineLevel="0" collapsed="false">
      <c r="A15" s="10" t="s">
        <v>73</v>
      </c>
      <c r="B15" s="17" t="s">
        <v>67</v>
      </c>
      <c r="C15" s="23" t="n">
        <v>0.18</v>
      </c>
      <c r="D15" s="23" t="n">
        <v>0.2</v>
      </c>
      <c r="E15" s="23" t="n">
        <v>0.2</v>
      </c>
      <c r="F15" s="19" t="s">
        <v>74</v>
      </c>
    </row>
    <row r="16" customFormat="false" ht="15" hidden="false" customHeight="false" outlineLevel="0" collapsed="false">
      <c r="A16" s="10" t="s">
        <v>75</v>
      </c>
      <c r="B16" s="17" t="s">
        <v>67</v>
      </c>
      <c r="C16" s="23" t="n">
        <v>0.07</v>
      </c>
      <c r="D16" s="23" t="n">
        <v>0.07</v>
      </c>
      <c r="E16" s="23" t="n">
        <v>0.07</v>
      </c>
      <c r="F16" s="19" t="s">
        <v>76</v>
      </c>
    </row>
    <row r="17" customFormat="false" ht="23.85" hidden="false" customHeight="false" outlineLevel="0" collapsed="false">
      <c r="A17" s="10" t="s">
        <v>77</v>
      </c>
      <c r="B17" s="17" t="s">
        <v>67</v>
      </c>
      <c r="C17" s="23" t="n">
        <v>0.04</v>
      </c>
      <c r="D17" s="23" t="n">
        <v>0.06</v>
      </c>
      <c r="E17" s="23" t="n">
        <v>0.06</v>
      </c>
      <c r="F17" s="19" t="s">
        <v>78</v>
      </c>
    </row>
    <row r="18" customFormat="false" ht="15" hidden="false" customHeight="false" outlineLevel="0" collapsed="false">
      <c r="A18" s="10" t="s">
        <v>79</v>
      </c>
      <c r="B18" s="17" t="s">
        <v>80</v>
      </c>
      <c r="C18" s="20" t="n">
        <v>0.03</v>
      </c>
      <c r="D18" s="20" t="n">
        <v>0.04</v>
      </c>
      <c r="E18" s="20" t="n">
        <v>0.04</v>
      </c>
      <c r="F18" s="19" t="s">
        <v>81</v>
      </c>
    </row>
    <row r="20" customFormat="false" ht="19.5" hidden="false" customHeight="true" outlineLevel="0" collapsed="false">
      <c r="A20" s="15" t="s">
        <v>82</v>
      </c>
      <c r="B20" s="16"/>
      <c r="C20" s="16"/>
      <c r="D20" s="16"/>
      <c r="E20" s="16"/>
      <c r="F20" s="16"/>
    </row>
    <row r="21" customFormat="false" ht="23.85" hidden="false" customHeight="false" outlineLevel="0" collapsed="false">
      <c r="A21" s="10" t="s">
        <v>83</v>
      </c>
      <c r="B21" s="17" t="s">
        <v>84</v>
      </c>
      <c r="C21" s="24" t="n">
        <v>67</v>
      </c>
      <c r="D21" s="24" t="n">
        <v>64</v>
      </c>
      <c r="E21" s="24" t="n">
        <v>66</v>
      </c>
      <c r="F21" s="19" t="s">
        <v>85</v>
      </c>
    </row>
    <row r="22" customFormat="false" ht="15" hidden="false" customHeight="false" outlineLevel="0" collapsed="false">
      <c r="A22" s="10" t="s">
        <v>86</v>
      </c>
      <c r="B22" s="17" t="s">
        <v>57</v>
      </c>
      <c r="C22" s="20" t="n">
        <v>0.02</v>
      </c>
      <c r="D22" s="20" t="n">
        <v>0.02</v>
      </c>
      <c r="E22" s="20" t="n">
        <v>0.02</v>
      </c>
      <c r="F22" s="19" t="s">
        <v>87</v>
      </c>
    </row>
    <row r="23" customFormat="false" ht="15" hidden="false" customHeight="false" outlineLevel="0" collapsed="false">
      <c r="A23" s="10" t="s">
        <v>88</v>
      </c>
      <c r="B23" s="17" t="s">
        <v>60</v>
      </c>
      <c r="C23" s="18" t="n">
        <v>15</v>
      </c>
      <c r="D23" s="18" t="n">
        <v>20</v>
      </c>
      <c r="E23" s="18" t="n">
        <v>22</v>
      </c>
      <c r="F23" s="19" t="s">
        <v>89</v>
      </c>
    </row>
    <row r="24" customFormat="false" ht="15" hidden="false" customHeight="false" outlineLevel="0" collapsed="false">
      <c r="A24" s="10" t="s">
        <v>90</v>
      </c>
      <c r="B24" s="17" t="s">
        <v>84</v>
      </c>
      <c r="C24" s="18" t="n">
        <v>50</v>
      </c>
      <c r="D24" s="18" t="n">
        <v>50</v>
      </c>
      <c r="E24" s="18" t="n">
        <v>55</v>
      </c>
      <c r="F24" s="19" t="s">
        <v>91</v>
      </c>
    </row>
    <row r="26" customFormat="false" ht="19.5" hidden="false" customHeight="true" outlineLevel="0" collapsed="false">
      <c r="A26" s="15" t="s">
        <v>92</v>
      </c>
      <c r="B26" s="16"/>
      <c r="C26" s="16"/>
      <c r="D26" s="16"/>
      <c r="E26" s="16"/>
      <c r="F26" s="16"/>
    </row>
    <row r="27" customFormat="false" ht="23.85" hidden="false" customHeight="false" outlineLevel="0" collapsed="false">
      <c r="A27" s="10" t="s">
        <v>93</v>
      </c>
      <c r="B27" s="17" t="s">
        <v>84</v>
      </c>
      <c r="C27" s="24" t="n">
        <v>0</v>
      </c>
      <c r="D27" s="24" t="n">
        <v>3</v>
      </c>
      <c r="E27" s="24" t="n">
        <v>4</v>
      </c>
      <c r="F27" s="19" t="s">
        <v>94</v>
      </c>
    </row>
    <row r="28" customFormat="false" ht="15" hidden="false" customHeight="false" outlineLevel="0" collapsed="false">
      <c r="A28" s="10" t="s">
        <v>95</v>
      </c>
      <c r="B28" s="17" t="s">
        <v>84</v>
      </c>
      <c r="C28" s="25" t="n">
        <v>0</v>
      </c>
      <c r="D28" s="25" t="n">
        <v>1.5</v>
      </c>
      <c r="E28" s="25" t="n">
        <v>2</v>
      </c>
      <c r="F28" s="19" t="s">
        <v>96</v>
      </c>
    </row>
    <row r="29" customFormat="false" ht="15" hidden="false" customHeight="false" outlineLevel="0" collapsed="false">
      <c r="A29" s="10" t="s">
        <v>97</v>
      </c>
      <c r="B29" s="17" t="s">
        <v>84</v>
      </c>
      <c r="C29" s="21" t="n">
        <v>0</v>
      </c>
      <c r="D29" s="21" t="n">
        <v>0</v>
      </c>
      <c r="E29" s="21" t="n">
        <v>0.8</v>
      </c>
      <c r="F29" s="19" t="s">
        <v>98</v>
      </c>
    </row>
    <row r="30" customFormat="false" ht="15" hidden="false" customHeight="false" outlineLevel="0" collapsed="false">
      <c r="A30" s="10" t="s">
        <v>99</v>
      </c>
      <c r="B30" s="17" t="s">
        <v>84</v>
      </c>
      <c r="C30" s="21" t="n">
        <v>0</v>
      </c>
      <c r="D30" s="21" t="n">
        <v>0</v>
      </c>
      <c r="E30" s="21" t="n">
        <v>0.5</v>
      </c>
      <c r="F30" s="19" t="s">
        <v>100</v>
      </c>
    </row>
    <row r="31" customFormat="false" ht="23.85" hidden="false" customHeight="false" outlineLevel="0" collapsed="false">
      <c r="A31" s="10" t="s">
        <v>101</v>
      </c>
      <c r="B31" s="17" t="s">
        <v>102</v>
      </c>
      <c r="C31" s="26" t="n">
        <v>0</v>
      </c>
      <c r="D31" s="26" t="n">
        <v>8000</v>
      </c>
      <c r="E31" s="26" t="n">
        <v>12000</v>
      </c>
      <c r="F31" s="19" t="s">
        <v>103</v>
      </c>
    </row>
    <row r="33" customFormat="false" ht="19.5" hidden="false" customHeight="true" outlineLevel="0" collapsed="false">
      <c r="A33" s="15" t="s">
        <v>104</v>
      </c>
      <c r="B33" s="16"/>
      <c r="C33" s="16"/>
      <c r="D33" s="16"/>
      <c r="E33" s="16"/>
      <c r="F33" s="16"/>
    </row>
    <row r="34" customFormat="false" ht="23.85" hidden="false" customHeight="false" outlineLevel="0" collapsed="false">
      <c r="A34" s="10" t="s">
        <v>105</v>
      </c>
      <c r="B34" s="17" t="s">
        <v>106</v>
      </c>
      <c r="C34" s="18" t="n">
        <v>0</v>
      </c>
      <c r="D34" s="18" t="n">
        <v>12</v>
      </c>
      <c r="E34" s="18" t="n">
        <v>20</v>
      </c>
      <c r="F34" s="19" t="s">
        <v>107</v>
      </c>
    </row>
    <row r="35" customFormat="false" ht="23.85" hidden="false" customHeight="false" outlineLevel="0" collapsed="false">
      <c r="A35" s="10" t="s">
        <v>108</v>
      </c>
      <c r="B35" s="17" t="s">
        <v>106</v>
      </c>
      <c r="C35" s="18" t="n">
        <v>15</v>
      </c>
      <c r="D35" s="18" t="n">
        <v>18</v>
      </c>
      <c r="E35" s="18" t="n">
        <v>18</v>
      </c>
      <c r="F35" s="19" t="s">
        <v>109</v>
      </c>
    </row>
    <row r="37" customFormat="false" ht="19.5" hidden="false" customHeight="true" outlineLevel="0" collapsed="false">
      <c r="A37" s="15" t="s">
        <v>110</v>
      </c>
      <c r="B37" s="16"/>
      <c r="C37" s="16"/>
      <c r="D37" s="16"/>
      <c r="E37" s="16"/>
      <c r="F37" s="16"/>
    </row>
    <row r="38" customFormat="false" ht="15" hidden="false" customHeight="false" outlineLevel="0" collapsed="false">
      <c r="A38" s="10" t="s">
        <v>111</v>
      </c>
      <c r="B38" s="17" t="s">
        <v>112</v>
      </c>
      <c r="C38" s="18" t="n">
        <v>11</v>
      </c>
      <c r="D38" s="18" t="n">
        <v>13</v>
      </c>
      <c r="E38" s="18" t="n">
        <v>13</v>
      </c>
      <c r="F38" s="19" t="s">
        <v>113</v>
      </c>
    </row>
    <row r="39" customFormat="false" ht="15" hidden="false" customHeight="false" outlineLevel="0" collapsed="false">
      <c r="A39" s="10" t="s">
        <v>114</v>
      </c>
      <c r="B39" s="17" t="s">
        <v>57</v>
      </c>
      <c r="C39" s="20" t="n">
        <v>0.02</v>
      </c>
      <c r="D39" s="20" t="n">
        <v>0.02</v>
      </c>
      <c r="E39" s="20" t="n">
        <v>0.02</v>
      </c>
      <c r="F39" s="19" t="s">
        <v>115</v>
      </c>
    </row>
    <row r="40" customFormat="false" ht="23.85" hidden="false" customHeight="false" outlineLevel="0" collapsed="false">
      <c r="A40" s="10" t="s">
        <v>116</v>
      </c>
      <c r="B40" s="17" t="s">
        <v>117</v>
      </c>
      <c r="C40" s="18" t="n">
        <v>2500</v>
      </c>
      <c r="D40" s="18" t="n">
        <v>1800</v>
      </c>
      <c r="E40" s="18" t="n">
        <v>1500</v>
      </c>
      <c r="F40" s="19" t="s">
        <v>118</v>
      </c>
    </row>
    <row r="41" customFormat="false" ht="15" hidden="false" customHeight="false" outlineLevel="0" collapsed="false">
      <c r="A41" s="10" t="s">
        <v>119</v>
      </c>
      <c r="B41" s="17" t="s">
        <v>120</v>
      </c>
      <c r="C41" s="20" t="n">
        <v>0.005</v>
      </c>
      <c r="D41" s="20" t="n">
        <v>0.005</v>
      </c>
      <c r="E41" s="20" t="n">
        <v>0.005</v>
      </c>
      <c r="F41" s="19" t="s">
        <v>121</v>
      </c>
    </row>
    <row r="42" customFormat="false" ht="23.85" hidden="false" customHeight="false" outlineLevel="0" collapsed="false">
      <c r="A42" s="10" t="s">
        <v>122</v>
      </c>
      <c r="B42" s="17" t="s">
        <v>102</v>
      </c>
      <c r="C42" s="26" t="n">
        <v>5000</v>
      </c>
      <c r="D42" s="26" t="n">
        <v>8000</v>
      </c>
      <c r="E42" s="26" t="n">
        <v>8000</v>
      </c>
      <c r="F42" s="19" t="s">
        <v>123</v>
      </c>
    </row>
    <row r="43" customFormat="false" ht="15" hidden="false" customHeight="false" outlineLevel="0" collapsed="false">
      <c r="A43" s="10" t="s">
        <v>124</v>
      </c>
      <c r="B43" s="17" t="s">
        <v>102</v>
      </c>
      <c r="C43" s="26" t="n">
        <v>0</v>
      </c>
      <c r="D43" s="26" t="n">
        <v>6000</v>
      </c>
      <c r="E43" s="26" t="n">
        <v>6000</v>
      </c>
      <c r="F43" s="19" t="s">
        <v>125</v>
      </c>
    </row>
    <row r="44" customFormat="false" ht="15" hidden="false" customHeight="false" outlineLevel="0" collapsed="false">
      <c r="A44" s="10" t="s">
        <v>126</v>
      </c>
      <c r="B44" s="17" t="s">
        <v>84</v>
      </c>
      <c r="C44" s="21" t="n">
        <v>0</v>
      </c>
      <c r="D44" s="21" t="n">
        <v>2</v>
      </c>
      <c r="E44" s="21" t="n">
        <v>2</v>
      </c>
      <c r="F44" s="19" t="s">
        <v>127</v>
      </c>
    </row>
    <row r="46" customFormat="false" ht="19.5" hidden="false" customHeight="true" outlineLevel="0" collapsed="false">
      <c r="A46" s="15" t="s">
        <v>128</v>
      </c>
      <c r="B46" s="16"/>
      <c r="C46" s="16"/>
      <c r="D46" s="16"/>
      <c r="E46" s="16"/>
      <c r="F46" s="16"/>
    </row>
    <row r="47" customFormat="false" ht="23.85" hidden="false" customHeight="false" outlineLevel="0" collapsed="false">
      <c r="A47" s="10" t="s">
        <v>129</v>
      </c>
      <c r="B47" s="17" t="s">
        <v>80</v>
      </c>
      <c r="C47" s="20" t="n">
        <v>0.6</v>
      </c>
      <c r="D47" s="20" t="n">
        <v>0.6</v>
      </c>
      <c r="E47" s="20" t="n">
        <v>0.65</v>
      </c>
      <c r="F47" s="19" t="s">
        <v>130</v>
      </c>
    </row>
    <row r="48" customFormat="false" ht="23.85" hidden="false" customHeight="false" outlineLevel="0" collapsed="false">
      <c r="A48" s="10" t="s">
        <v>131</v>
      </c>
      <c r="B48" s="17" t="s">
        <v>132</v>
      </c>
      <c r="C48" s="27" t="n">
        <v>0.055</v>
      </c>
      <c r="D48" s="27" t="n">
        <v>0.045</v>
      </c>
      <c r="E48" s="27" t="n">
        <v>0.045</v>
      </c>
      <c r="F48" s="19" t="s">
        <v>133</v>
      </c>
    </row>
    <row r="49" customFormat="false" ht="15" hidden="false" customHeight="false" outlineLevel="0" collapsed="false">
      <c r="A49" s="10" t="s">
        <v>134</v>
      </c>
      <c r="B49" s="17" t="s">
        <v>60</v>
      </c>
      <c r="C49" s="18" t="n">
        <v>18</v>
      </c>
      <c r="D49" s="18" t="n">
        <v>20</v>
      </c>
      <c r="E49" s="18" t="n">
        <v>22</v>
      </c>
      <c r="F49" s="19" t="s">
        <v>135</v>
      </c>
    </row>
    <row r="50" customFormat="false" ht="15" hidden="false" customHeight="false" outlineLevel="0" collapsed="false">
      <c r="A50" s="10" t="s">
        <v>136</v>
      </c>
      <c r="B50" s="17" t="s">
        <v>80</v>
      </c>
      <c r="C50" s="20" t="n">
        <v>0</v>
      </c>
      <c r="D50" s="20" t="n">
        <v>0.15</v>
      </c>
      <c r="E50" s="20" t="n">
        <v>0.2</v>
      </c>
      <c r="F50" s="19" t="s">
        <v>137</v>
      </c>
    </row>
    <row r="51" customFormat="false" ht="15" hidden="false" customHeight="false" outlineLevel="0" collapsed="false">
      <c r="A51" s="10" t="s">
        <v>138</v>
      </c>
      <c r="B51" s="17" t="s">
        <v>139</v>
      </c>
      <c r="C51" s="20" t="n">
        <v>0</v>
      </c>
      <c r="D51" s="20" t="n">
        <v>0.06</v>
      </c>
      <c r="E51" s="20" t="n">
        <v>0.06</v>
      </c>
      <c r="F51" s="19" t="s">
        <v>140</v>
      </c>
    </row>
    <row r="52" customFormat="false" ht="15" hidden="false" customHeight="false" outlineLevel="0" collapsed="false">
      <c r="A52" s="10" t="s">
        <v>141</v>
      </c>
      <c r="B52" s="17" t="s">
        <v>80</v>
      </c>
      <c r="C52" s="20" t="n">
        <v>0.4</v>
      </c>
      <c r="D52" s="20" t="n">
        <v>0.25</v>
      </c>
      <c r="E52" s="20" t="n">
        <v>0.15</v>
      </c>
      <c r="F52" s="19" t="s">
        <v>142</v>
      </c>
    </row>
    <row r="53" customFormat="false" ht="15" hidden="false" customHeight="false" outlineLevel="0" collapsed="false">
      <c r="A53" s="10" t="s">
        <v>143</v>
      </c>
      <c r="B53" s="17" t="s">
        <v>144</v>
      </c>
      <c r="C53" s="27" t="n">
        <v>0.1</v>
      </c>
      <c r="D53" s="27" t="n">
        <v>0.1</v>
      </c>
      <c r="E53" s="27" t="n">
        <v>0.1</v>
      </c>
      <c r="F53" s="19" t="s">
        <v>145</v>
      </c>
    </row>
    <row r="54" customFormat="false" ht="15" hidden="false" customHeight="false" outlineLevel="0" collapsed="false">
      <c r="A54" s="10" t="s">
        <v>146</v>
      </c>
      <c r="B54" s="17" t="s">
        <v>60</v>
      </c>
      <c r="C54" s="18" t="n">
        <v>25</v>
      </c>
      <c r="D54" s="18" t="n">
        <v>25</v>
      </c>
      <c r="E54" s="18" t="n">
        <v>25</v>
      </c>
      <c r="F54" s="19" t="s">
        <v>147</v>
      </c>
    </row>
    <row r="55" customFormat="false" ht="15" hidden="false" customHeight="false" outlineLevel="0" collapsed="false">
      <c r="A55" s="10" t="s">
        <v>148</v>
      </c>
      <c r="B55" s="17" t="s">
        <v>149</v>
      </c>
      <c r="C55" s="20" t="n">
        <v>0.25</v>
      </c>
      <c r="D55" s="20" t="n">
        <v>0.25</v>
      </c>
      <c r="E55" s="20" t="n">
        <v>0.25</v>
      </c>
      <c r="F55" s="19" t="s">
        <v>150</v>
      </c>
    </row>
    <row r="57" customFormat="false" ht="19.5" hidden="false" customHeight="true" outlineLevel="0" collapsed="false">
      <c r="A57" s="15" t="s">
        <v>151</v>
      </c>
      <c r="B57" s="16"/>
      <c r="C57" s="16"/>
      <c r="D57" s="16"/>
      <c r="E57" s="16"/>
      <c r="F57" s="16"/>
    </row>
    <row r="58" customFormat="false" ht="15" hidden="false" customHeight="false" outlineLevel="0" collapsed="false">
      <c r="A58" s="10" t="s">
        <v>152</v>
      </c>
      <c r="B58" s="17" t="s">
        <v>149</v>
      </c>
      <c r="C58" s="20" t="n">
        <v>0.05</v>
      </c>
      <c r="D58" s="20" t="n">
        <v>0.05</v>
      </c>
      <c r="E58" s="20" t="n">
        <v>0.05</v>
      </c>
      <c r="F58" s="19" t="s">
        <v>153</v>
      </c>
    </row>
    <row r="59" customFormat="false" ht="15" hidden="false" customHeight="false" outlineLevel="0" collapsed="false">
      <c r="A59" s="10" t="s">
        <v>154</v>
      </c>
      <c r="B59" s="17" t="s">
        <v>149</v>
      </c>
      <c r="C59" s="20" t="n">
        <v>0.08</v>
      </c>
      <c r="D59" s="20" t="n">
        <v>0.08</v>
      </c>
      <c r="E59" s="20" t="n">
        <v>0.08</v>
      </c>
      <c r="F59" s="19" t="s">
        <v>155</v>
      </c>
    </row>
    <row r="60" customFormat="false" ht="15" hidden="false" customHeight="false" outlineLevel="0" collapsed="false">
      <c r="A60" s="10" t="s">
        <v>156</v>
      </c>
      <c r="B60" s="17" t="s">
        <v>149</v>
      </c>
      <c r="C60" s="20" t="n">
        <v>0.1</v>
      </c>
      <c r="D60" s="20" t="n">
        <v>0.1</v>
      </c>
      <c r="E60" s="20" t="n">
        <v>0.1</v>
      </c>
      <c r="F60" s="19" t="s">
        <v>157</v>
      </c>
    </row>
    <row r="62" customFormat="false" ht="19.5" hidden="false" customHeight="true" outlineLevel="0" collapsed="false">
      <c r="A62" s="15" t="s">
        <v>158</v>
      </c>
      <c r="B62" s="16"/>
      <c r="C62" s="16"/>
      <c r="D62" s="16"/>
      <c r="E62" s="16"/>
      <c r="F62" s="16"/>
    </row>
    <row r="63" customFormat="false" ht="15" hidden="false" customHeight="false" outlineLevel="0" collapsed="false">
      <c r="A63" s="10" t="s">
        <v>159</v>
      </c>
      <c r="C63" s="28" t="n">
        <f aca="false">(C12+C13+C14+C15+C16+C17)*(1+C18)</f>
        <v>0.5665</v>
      </c>
      <c r="D63" s="28" t="n">
        <f aca="false">(D12+D13+D14+D15+D16+D17)*(1+D18)</f>
        <v>0.6448</v>
      </c>
      <c r="E63" s="28" t="n">
        <f aca="false">(E12+E13+E14+E15+E16+E17)*(1+E18)</f>
        <v>0.6448</v>
      </c>
    </row>
    <row r="64" customFormat="false" ht="15" hidden="false" customHeight="false" outlineLevel="0" collapsed="false">
      <c r="A64" s="8" t="s">
        <v>160</v>
      </c>
      <c r="C64" s="29" t="n">
        <f aca="false">C63*1000*C5</f>
        <v>2832500</v>
      </c>
      <c r="D64" s="29" t="n">
        <f aca="false">D63*1000*D5</f>
        <v>3224000</v>
      </c>
      <c r="E64" s="29" t="n">
        <f aca="false">E63*1000*E5</f>
        <v>3224000</v>
      </c>
    </row>
    <row r="65" customFormat="false" ht="15" hidden="false" customHeight="false" outlineLevel="0" collapsed="false">
      <c r="A65" s="10" t="s">
        <v>161</v>
      </c>
      <c r="C65" s="30" t="n">
        <f aca="false">C5*C6/1000</f>
        <v>6130</v>
      </c>
      <c r="D65" s="30" t="n">
        <f aca="false">D5*D6/1000</f>
        <v>5900</v>
      </c>
      <c r="E65" s="30" t="n">
        <f aca="false">E5*E6/1000</f>
        <v>5900</v>
      </c>
    </row>
    <row r="66" customFormat="false" ht="15" hidden="false" customHeight="false" outlineLevel="0" collapsed="false">
      <c r="A66" s="10" t="s">
        <v>162</v>
      </c>
      <c r="C66" s="31" t="n">
        <f aca="false">C47*C64</f>
        <v>1699500</v>
      </c>
      <c r="D66" s="31" t="n">
        <f aca="false">D47*D64</f>
        <v>1934400</v>
      </c>
      <c r="E66" s="31" t="n">
        <f aca="false">E47*E64</f>
        <v>2095600</v>
      </c>
    </row>
    <row r="67" customFormat="false" ht="15" hidden="false" customHeight="false" outlineLevel="0" collapsed="false">
      <c r="A67" s="10" t="s">
        <v>163</v>
      </c>
      <c r="C67" s="31" t="n">
        <f aca="false">C50*C64</f>
        <v>0</v>
      </c>
      <c r="D67" s="31" t="n">
        <f aca="false">D50*D64</f>
        <v>483600</v>
      </c>
      <c r="E67" s="31" t="n">
        <f aca="false">E50*E64</f>
        <v>644800</v>
      </c>
    </row>
    <row r="68" customFormat="false" ht="15" hidden="false" customHeight="false" outlineLevel="0" collapsed="false">
      <c r="A68" s="10" t="s">
        <v>164</v>
      </c>
      <c r="C68" s="31" t="n">
        <f aca="false">C52*C64</f>
        <v>1133000</v>
      </c>
      <c r="D68" s="31" t="n">
        <f aca="false">D52*D64</f>
        <v>806000</v>
      </c>
      <c r="E68" s="31" t="n">
        <f aca="false">E52*E64</f>
        <v>483600</v>
      </c>
    </row>
    <row r="69" customFormat="false" ht="15" hidden="false" customHeight="false" outlineLevel="0" collapsed="false">
      <c r="A69" s="10" t="s">
        <v>165</v>
      </c>
      <c r="C69" s="32" t="n">
        <f aca="false">C47*C48*(1-C55)+C50*C51+C52*C53</f>
        <v>0.06475</v>
      </c>
      <c r="D69" s="32" t="n">
        <f aca="false">D47*D48*(1-D55)+D50*D51+D52*D53</f>
        <v>0.05425</v>
      </c>
      <c r="E69" s="32" t="n">
        <f aca="false">E47*E48*(1-E55)+E50*E51+E52*E53</f>
        <v>0.0489375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3" min="3" style="0" width="11"/>
  </cols>
  <sheetData>
    <row r="1" customFormat="false" ht="30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8" hidden="false" customHeight="true" outlineLevel="0" collapsed="false">
      <c r="A2" s="2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4" customFormat="false" ht="21.75" hidden="false" customHeight="true" outlineLevel="0" collapsed="false">
      <c r="A4" s="33" t="s">
        <v>168</v>
      </c>
      <c r="B4" s="33" t="s">
        <v>44</v>
      </c>
      <c r="C4" s="34" t="s">
        <v>169</v>
      </c>
      <c r="D4" s="34" t="s">
        <v>170</v>
      </c>
      <c r="E4" s="34" t="s">
        <v>171</v>
      </c>
      <c r="F4" s="34" t="s">
        <v>172</v>
      </c>
      <c r="G4" s="34" t="s">
        <v>173</v>
      </c>
      <c r="H4" s="34" t="s">
        <v>174</v>
      </c>
      <c r="I4" s="34" t="s">
        <v>175</v>
      </c>
      <c r="J4" s="34" t="s">
        <v>176</v>
      </c>
      <c r="K4" s="34" t="s">
        <v>177</v>
      </c>
      <c r="L4" s="34" t="s">
        <v>178</v>
      </c>
      <c r="M4" s="34" t="s">
        <v>179</v>
      </c>
      <c r="N4" s="34" t="s">
        <v>180</v>
      </c>
      <c r="O4" s="34" t="s">
        <v>181</v>
      </c>
      <c r="P4" s="34" t="s">
        <v>182</v>
      </c>
      <c r="Q4" s="34" t="s">
        <v>183</v>
      </c>
      <c r="R4" s="34" t="s">
        <v>184</v>
      </c>
      <c r="S4" s="34" t="s">
        <v>185</v>
      </c>
      <c r="T4" s="34" t="s">
        <v>186</v>
      </c>
      <c r="U4" s="34" t="s">
        <v>187</v>
      </c>
      <c r="V4" s="34" t="s">
        <v>188</v>
      </c>
      <c r="W4" s="34" t="s">
        <v>189</v>
      </c>
      <c r="X4" s="34" t="s">
        <v>190</v>
      </c>
      <c r="Y4" s="34" t="s">
        <v>191</v>
      </c>
      <c r="Z4" s="34" t="s">
        <v>192</v>
      </c>
      <c r="AA4" s="34" t="s">
        <v>193</v>
      </c>
      <c r="AB4" s="34" t="s">
        <v>194</v>
      </c>
      <c r="AC4" s="34" t="s">
        <v>195</v>
      </c>
      <c r="AD4" s="34" t="s">
        <v>196</v>
      </c>
      <c r="AE4" s="34" t="s">
        <v>197</v>
      </c>
      <c r="AF4" s="34" t="s">
        <v>198</v>
      </c>
      <c r="AG4" s="34" t="s">
        <v>199</v>
      </c>
    </row>
    <row r="5" customFormat="false" ht="19.5" hidden="false" customHeight="true" outlineLevel="0" collapsed="false">
      <c r="A5" s="15" t="s">
        <v>200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customFormat="false" ht="15" hidden="false" customHeight="false" outlineLevel="0" collapsed="false">
      <c r="A6" s="35" t="s">
        <v>201</v>
      </c>
      <c r="B6" s="17" t="s">
        <v>202</v>
      </c>
      <c r="C6" s="30" t="n">
        <f aca="false">0</f>
        <v>0</v>
      </c>
      <c r="D6" s="30" t="n">
        <f aca="false">Assumptions!$C$65*(1-Assumptions!$C$7)^(1-1)</f>
        <v>6130</v>
      </c>
      <c r="E6" s="30" t="n">
        <f aca="false">Assumptions!$C$65*(1-Assumptions!$C$7)^(2-1)</f>
        <v>6099.35</v>
      </c>
      <c r="F6" s="30" t="n">
        <f aca="false">Assumptions!$C$65*(1-Assumptions!$C$7)^(3-1)</f>
        <v>6068.85325</v>
      </c>
      <c r="G6" s="30" t="n">
        <f aca="false">Assumptions!$C$65*(1-Assumptions!$C$7)^(4-1)</f>
        <v>6038.50898375</v>
      </c>
      <c r="H6" s="30" t="n">
        <f aca="false">Assumptions!$C$65*(1-Assumptions!$C$7)^(5-1)</f>
        <v>6008.31643883125</v>
      </c>
      <c r="I6" s="30" t="n">
        <f aca="false">Assumptions!$C$65*(1-Assumptions!$C$7)^(6-1)</f>
        <v>5978.27485663709</v>
      </c>
      <c r="J6" s="30" t="n">
        <f aca="false">Assumptions!$C$65*(1-Assumptions!$C$7)^(7-1)</f>
        <v>5948.38348235391</v>
      </c>
      <c r="K6" s="30" t="n">
        <f aca="false">Assumptions!$C$65*(1-Assumptions!$C$7)^(8-1)</f>
        <v>5918.64156494214</v>
      </c>
      <c r="L6" s="30" t="n">
        <f aca="false">Assumptions!$C$65*(1-Assumptions!$C$7)^(9-1)</f>
        <v>5889.04835711743</v>
      </c>
      <c r="M6" s="30" t="n">
        <f aca="false">Assumptions!$C$65*(1-Assumptions!$C$7)^(10-1)</f>
        <v>5859.60311533184</v>
      </c>
      <c r="N6" s="30" t="n">
        <f aca="false">Assumptions!$C$65*(1-Assumptions!$C$7)^(11-1)</f>
        <v>5830.30509975518</v>
      </c>
      <c r="O6" s="30" t="n">
        <f aca="false">Assumptions!$C$65*(1-Assumptions!$C$7)^(12-1)</f>
        <v>5801.15357425641</v>
      </c>
      <c r="P6" s="30" t="n">
        <f aca="false">Assumptions!$C$65*(1-Assumptions!$C$7)^(13-1)</f>
        <v>5772.14780638512</v>
      </c>
      <c r="Q6" s="30" t="n">
        <f aca="false">Assumptions!$C$65*(1-Assumptions!$C$7)^(14-1)</f>
        <v>5743.2870673532</v>
      </c>
      <c r="R6" s="30" t="n">
        <f aca="false">Assumptions!$C$65*(1-Assumptions!$C$7)^(15-1)</f>
        <v>5714.57063201643</v>
      </c>
      <c r="S6" s="30" t="n">
        <f aca="false">Assumptions!$C$65*(1-Assumptions!$C$7)^(16-1)</f>
        <v>5685.99777885635</v>
      </c>
      <c r="T6" s="30" t="n">
        <f aca="false">Assumptions!$C$65*(1-Assumptions!$C$7)^(17-1)</f>
        <v>5657.56778996207</v>
      </c>
      <c r="U6" s="30" t="n">
        <f aca="false">Assumptions!$C$65*(1-Assumptions!$C$7)^(18-1)</f>
        <v>5629.27995101226</v>
      </c>
      <c r="V6" s="30" t="n">
        <f aca="false">Assumptions!$C$65*(1-Assumptions!$C$7)^(19-1)</f>
        <v>5601.1335512572</v>
      </c>
      <c r="W6" s="30" t="n">
        <f aca="false">Assumptions!$C$65*(1-Assumptions!$C$7)^(20-1)</f>
        <v>5573.12788350091</v>
      </c>
      <c r="X6" s="30" t="n">
        <f aca="false">Assumptions!$C$65*(1-Assumptions!$C$7)^(21-1)</f>
        <v>5545.26224408341</v>
      </c>
      <c r="Y6" s="30" t="n">
        <f aca="false">Assumptions!$C$65*(1-Assumptions!$C$7)^(22-1)</f>
        <v>5517.53593286299</v>
      </c>
      <c r="Z6" s="30" t="n">
        <f aca="false">Assumptions!$C$65*(1-Assumptions!$C$7)^(23-1)</f>
        <v>5489.94825319867</v>
      </c>
      <c r="AA6" s="30" t="n">
        <f aca="false">Assumptions!$C$65*(1-Assumptions!$C$7)^(24-1)</f>
        <v>5462.49851193268</v>
      </c>
      <c r="AB6" s="30" t="n">
        <f aca="false">Assumptions!$C$65*(1-Assumptions!$C$7)^(25-1)</f>
        <v>5435.18601937302</v>
      </c>
      <c r="AC6" s="30" t="n">
        <f aca="false">Assumptions!$C$65*(1-Assumptions!$C$7)^(26-1)</f>
        <v>5408.01008927615</v>
      </c>
      <c r="AD6" s="30" t="n">
        <f aca="false">Assumptions!$C$65*(1-Assumptions!$C$7)^(27-1)</f>
        <v>5380.97003882977</v>
      </c>
      <c r="AE6" s="30" t="n">
        <f aca="false">Assumptions!$C$65*(1-Assumptions!$C$7)^(28-1)</f>
        <v>5354.06518863562</v>
      </c>
      <c r="AF6" s="30" t="n">
        <f aca="false">Assumptions!$C$65*(1-Assumptions!$C$7)^(29-1)</f>
        <v>5327.29486269244</v>
      </c>
      <c r="AG6" s="30" t="n">
        <f aca="false">Assumptions!$C$65*(1-Assumptions!$C$7)^(30-1)</f>
        <v>5300.65838837898</v>
      </c>
    </row>
    <row r="8" customFormat="false" ht="19.5" hidden="false" customHeight="true" outlineLevel="0" collapsed="false">
      <c r="A8" s="15" t="s">
        <v>203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customFormat="false" ht="15" hidden="false" customHeight="false" outlineLevel="0" collapsed="false">
      <c r="A9" s="35" t="s">
        <v>204</v>
      </c>
      <c r="B9" s="17" t="s">
        <v>205</v>
      </c>
      <c r="C9" s="31" t="n">
        <f aca="false">0</f>
        <v>0</v>
      </c>
      <c r="D9" s="31" t="n">
        <f aca="false">IF(1&lt;=Assumptions!$C$23,D6*Assumptions!$C$21*(1+Assumptions!$C$22)^(1-1),D6*Assumptions!$C$24)</f>
        <v>410710</v>
      </c>
      <c r="E9" s="31" t="n">
        <f aca="false">IF(2&lt;=Assumptions!$C$23,E6*Assumptions!$C$21*(1+Assumptions!$C$22)^(2-1),E6*Assumptions!$C$24)</f>
        <v>416829.579</v>
      </c>
      <c r="F9" s="31" t="n">
        <f aca="false">IF(3&lt;=Assumptions!$C$23,F6*Assumptions!$C$21*(1+Assumptions!$C$22)^(3-1),F6*Assumptions!$C$24)</f>
        <v>423040.3397271</v>
      </c>
      <c r="G9" s="31" t="n">
        <f aca="false">IF(4&lt;=Assumptions!$C$23,G6*Assumptions!$C$21*(1+Assumptions!$C$22)^(4-1),G6*Assumptions!$C$24)</f>
        <v>429343.640789034</v>
      </c>
      <c r="H9" s="31" t="n">
        <f aca="false">IF(5&lt;=Assumptions!$C$23,H6*Assumptions!$C$21*(1+Assumptions!$C$22)^(5-1),H6*Assumptions!$C$24)</f>
        <v>435740.86103679</v>
      </c>
      <c r="I9" s="31" t="n">
        <f aca="false">IF(6&lt;=Assumptions!$C$23,I6*Assumptions!$C$21*(1+Assumptions!$C$22)^(6-1),I6*Assumptions!$C$24)</f>
        <v>442233.399866239</v>
      </c>
      <c r="J9" s="31" t="n">
        <f aca="false">IF(7&lt;=Assumptions!$C$23,J6*Assumptions!$C$21*(1+Assumptions!$C$22)^(7-1),J6*Assumptions!$C$24)</f>
        <v>448822.677524246</v>
      </c>
      <c r="K9" s="31" t="n">
        <f aca="false">IF(8&lt;=Assumptions!$C$23,K6*Assumptions!$C$21*(1+Assumptions!$C$22)^(8-1),K6*Assumptions!$C$24)</f>
        <v>455510.135419357</v>
      </c>
      <c r="L9" s="31" t="n">
        <f aca="false">IF(9&lt;=Assumptions!$C$23,L6*Assumptions!$C$21*(1+Assumptions!$C$22)^(9-1),L6*Assumptions!$C$24)</f>
        <v>462297.236437105</v>
      </c>
      <c r="M9" s="31" t="n">
        <f aca="false">IF(10&lt;=Assumptions!$C$23,M6*Assumptions!$C$21*(1+Assumptions!$C$22)^(10-1),M6*Assumptions!$C$24)</f>
        <v>469185.465260018</v>
      </c>
      <c r="N9" s="31" t="n">
        <f aca="false">IF(11&lt;=Assumptions!$C$23,N6*Assumptions!$C$21*(1+Assumptions!$C$22)^(11-1),N6*Assumptions!$C$24)</f>
        <v>476176.328692392</v>
      </c>
      <c r="O9" s="31" t="n">
        <f aca="false">IF(12&lt;=Assumptions!$C$23,O6*Assumptions!$C$21*(1+Assumptions!$C$22)^(12-1),O6*Assumptions!$C$24)</f>
        <v>483271.355989909</v>
      </c>
      <c r="P9" s="31" t="n">
        <f aca="false">IF(13&lt;=Assumptions!$C$23,P6*Assumptions!$C$21*(1+Assumptions!$C$22)^(13-1),P6*Assumptions!$C$24)</f>
        <v>490472.099194159</v>
      </c>
      <c r="Q9" s="31" t="n">
        <f aca="false">IF(14&lt;=Assumptions!$C$23,Q6*Assumptions!$C$21*(1+Assumptions!$C$22)^(14-1),Q6*Assumptions!$C$24)</f>
        <v>497780.133472152</v>
      </c>
      <c r="R9" s="31" t="n">
        <f aca="false">IF(15&lt;=Assumptions!$C$23,R6*Assumptions!$C$21*(1+Assumptions!$C$22)^(15-1),R6*Assumptions!$C$24)</f>
        <v>505197.057460887</v>
      </c>
      <c r="S9" s="31" t="n">
        <f aca="false">IF(16&lt;=Assumptions!$C$23,S6*Assumptions!$C$21*(1+Assumptions!$C$22)^(16-1),S6*Assumptions!$C$24)</f>
        <v>284299.888942818</v>
      </c>
      <c r="T9" s="31" t="n">
        <f aca="false">IF(17&lt;=Assumptions!$C$23,T6*Assumptions!$C$21*(1+Assumptions!$C$22)^(17-1),T6*Assumptions!$C$24)</f>
        <v>282878.389498103</v>
      </c>
      <c r="U9" s="31" t="n">
        <f aca="false">IF(18&lt;=Assumptions!$C$23,U6*Assumptions!$C$21*(1+Assumptions!$C$22)^(18-1),U6*Assumptions!$C$24)</f>
        <v>281463.997550613</v>
      </c>
      <c r="V9" s="31" t="n">
        <f aca="false">IF(19&lt;=Assumptions!$C$23,V6*Assumptions!$C$21*(1+Assumptions!$C$22)^(19-1),V6*Assumptions!$C$24)</f>
        <v>280056.67756286</v>
      </c>
      <c r="W9" s="31" t="n">
        <f aca="false">IF(20&lt;=Assumptions!$C$23,W6*Assumptions!$C$21*(1+Assumptions!$C$22)^(20-1),W6*Assumptions!$C$24)</f>
        <v>278656.394175046</v>
      </c>
      <c r="X9" s="31" t="n">
        <f aca="false">IF(21&lt;=Assumptions!$C$23,X6*Assumptions!$C$21*(1+Assumptions!$C$22)^(21-1),X6*Assumptions!$C$24)</f>
        <v>277263.11220417</v>
      </c>
      <c r="Y9" s="31" t="n">
        <f aca="false">IF(22&lt;=Assumptions!$C$23,Y6*Assumptions!$C$21*(1+Assumptions!$C$22)^(22-1),Y6*Assumptions!$C$24)</f>
        <v>275876.796643149</v>
      </c>
      <c r="Z9" s="31" t="n">
        <f aca="false">IF(23&lt;=Assumptions!$C$23,Z6*Assumptions!$C$21*(1+Assumptions!$C$22)^(23-1),Z6*Assumptions!$C$24)</f>
        <v>274497.412659934</v>
      </c>
      <c r="AA9" s="31" t="n">
        <f aca="false">IF(24&lt;=Assumptions!$C$23,AA6*Assumptions!$C$21*(1+Assumptions!$C$22)^(24-1),AA6*Assumptions!$C$24)</f>
        <v>273124.925596634</v>
      </c>
      <c r="AB9" s="31" t="n">
        <f aca="false">IF(25&lt;=Assumptions!$C$23,AB6*Assumptions!$C$21*(1+Assumptions!$C$22)^(25-1),AB6*Assumptions!$C$24)</f>
        <v>271759.300968651</v>
      </c>
      <c r="AC9" s="31" t="n">
        <f aca="false">IF(26&lt;=Assumptions!$C$23,AC6*Assumptions!$C$21*(1+Assumptions!$C$22)^(26-1),AC6*Assumptions!$C$24)</f>
        <v>270400.504463808</v>
      </c>
      <c r="AD9" s="31" t="n">
        <f aca="false">IF(27&lt;=Assumptions!$C$23,AD6*Assumptions!$C$21*(1+Assumptions!$C$22)^(27-1),AD6*Assumptions!$C$24)</f>
        <v>269048.501941489</v>
      </c>
      <c r="AE9" s="31" t="n">
        <f aca="false">IF(28&lt;=Assumptions!$C$23,AE6*Assumptions!$C$21*(1+Assumptions!$C$22)^(28-1),AE6*Assumptions!$C$24)</f>
        <v>267703.259431781</v>
      </c>
      <c r="AF9" s="31" t="n">
        <f aca="false">IF(29&lt;=Assumptions!$C$23,AF6*Assumptions!$C$21*(1+Assumptions!$C$22)^(29-1),AF6*Assumptions!$C$24)</f>
        <v>266364.743134622</v>
      </c>
      <c r="AG9" s="31" t="n">
        <f aca="false">IF(30&lt;=Assumptions!$C$23,AG6*Assumptions!$C$21*(1+Assumptions!$C$22)^(30-1),AG6*Assumptions!$C$24)</f>
        <v>265032.919418949</v>
      </c>
    </row>
    <row r="10" customFormat="false" ht="15" hidden="false" customHeight="false" outlineLevel="0" collapsed="false">
      <c r="A10" s="35" t="s">
        <v>93</v>
      </c>
      <c r="B10" s="17" t="s">
        <v>205</v>
      </c>
      <c r="C10" s="31" t="n">
        <f aca="false">0</f>
        <v>0</v>
      </c>
      <c r="D10" s="31" t="n">
        <f aca="false">IF(1&lt;=Assumptions!$C$23,D6*Assumptions!$C$27,0)</f>
        <v>0</v>
      </c>
      <c r="E10" s="31" t="n">
        <f aca="false">IF(2&lt;=Assumptions!$C$23,E6*Assumptions!$C$27,0)</f>
        <v>0</v>
      </c>
      <c r="F10" s="31" t="n">
        <f aca="false">IF(3&lt;=Assumptions!$C$23,F6*Assumptions!$C$27,0)</f>
        <v>0</v>
      </c>
      <c r="G10" s="31" t="n">
        <f aca="false">IF(4&lt;=Assumptions!$C$23,G6*Assumptions!$C$27,0)</f>
        <v>0</v>
      </c>
      <c r="H10" s="31" t="n">
        <f aca="false">IF(5&lt;=Assumptions!$C$23,H6*Assumptions!$C$27,0)</f>
        <v>0</v>
      </c>
      <c r="I10" s="31" t="n">
        <f aca="false">IF(6&lt;=Assumptions!$C$23,I6*Assumptions!$C$27,0)</f>
        <v>0</v>
      </c>
      <c r="J10" s="31" t="n">
        <f aca="false">IF(7&lt;=Assumptions!$C$23,J6*Assumptions!$C$27,0)</f>
        <v>0</v>
      </c>
      <c r="K10" s="31" t="n">
        <f aca="false">IF(8&lt;=Assumptions!$C$23,K6*Assumptions!$C$27,0)</f>
        <v>0</v>
      </c>
      <c r="L10" s="31" t="n">
        <f aca="false">IF(9&lt;=Assumptions!$C$23,L6*Assumptions!$C$27,0)</f>
        <v>0</v>
      </c>
      <c r="M10" s="31" t="n">
        <f aca="false">IF(10&lt;=Assumptions!$C$23,M6*Assumptions!$C$27,0)</f>
        <v>0</v>
      </c>
      <c r="N10" s="31" t="n">
        <f aca="false">IF(11&lt;=Assumptions!$C$23,N6*Assumptions!$C$27,0)</f>
        <v>0</v>
      </c>
      <c r="O10" s="31" t="n">
        <f aca="false">IF(12&lt;=Assumptions!$C$23,O6*Assumptions!$C$27,0)</f>
        <v>0</v>
      </c>
      <c r="P10" s="31" t="n">
        <f aca="false">IF(13&lt;=Assumptions!$C$23,P6*Assumptions!$C$27,0)</f>
        <v>0</v>
      </c>
      <c r="Q10" s="31" t="n">
        <f aca="false">IF(14&lt;=Assumptions!$C$23,Q6*Assumptions!$C$27,0)</f>
        <v>0</v>
      </c>
      <c r="R10" s="31" t="n">
        <f aca="false">IF(15&lt;=Assumptions!$C$23,R6*Assumptions!$C$27,0)</f>
        <v>0</v>
      </c>
      <c r="S10" s="31" t="n">
        <f aca="false">IF(16&lt;=Assumptions!$C$23,S6*Assumptions!$C$27,0)</f>
        <v>0</v>
      </c>
      <c r="T10" s="31" t="n">
        <f aca="false">IF(17&lt;=Assumptions!$C$23,T6*Assumptions!$C$27,0)</f>
        <v>0</v>
      </c>
      <c r="U10" s="31" t="n">
        <f aca="false">IF(18&lt;=Assumptions!$C$23,U6*Assumptions!$C$27,0)</f>
        <v>0</v>
      </c>
      <c r="V10" s="31" t="n">
        <f aca="false">IF(19&lt;=Assumptions!$C$23,V6*Assumptions!$C$27,0)</f>
        <v>0</v>
      </c>
      <c r="W10" s="31" t="n">
        <f aca="false">IF(20&lt;=Assumptions!$C$23,W6*Assumptions!$C$27,0)</f>
        <v>0</v>
      </c>
      <c r="X10" s="31" t="n">
        <f aca="false">IF(21&lt;=Assumptions!$C$23,X6*Assumptions!$C$27,0)</f>
        <v>0</v>
      </c>
      <c r="Y10" s="31" t="n">
        <f aca="false">IF(22&lt;=Assumptions!$C$23,Y6*Assumptions!$C$27,0)</f>
        <v>0</v>
      </c>
      <c r="Z10" s="31" t="n">
        <f aca="false">IF(23&lt;=Assumptions!$C$23,Z6*Assumptions!$C$27,0)</f>
        <v>0</v>
      </c>
      <c r="AA10" s="31" t="n">
        <f aca="false">IF(24&lt;=Assumptions!$C$23,AA6*Assumptions!$C$27,0)</f>
        <v>0</v>
      </c>
      <c r="AB10" s="31" t="n">
        <f aca="false">IF(25&lt;=Assumptions!$C$23,AB6*Assumptions!$C$27,0)</f>
        <v>0</v>
      </c>
      <c r="AC10" s="31" t="n">
        <f aca="false">IF(26&lt;=Assumptions!$C$23,AC6*Assumptions!$C$27,0)</f>
        <v>0</v>
      </c>
      <c r="AD10" s="31" t="n">
        <f aca="false">IF(27&lt;=Assumptions!$C$23,AD6*Assumptions!$C$27,0)</f>
        <v>0</v>
      </c>
      <c r="AE10" s="31" t="n">
        <f aca="false">IF(28&lt;=Assumptions!$C$23,AE6*Assumptions!$C$27,0)</f>
        <v>0</v>
      </c>
      <c r="AF10" s="31" t="n">
        <f aca="false">IF(29&lt;=Assumptions!$C$23,AF6*Assumptions!$C$27,0)</f>
        <v>0</v>
      </c>
      <c r="AG10" s="31" t="n">
        <f aca="false">IF(30&lt;=Assumptions!$C$23,AG6*Assumptions!$C$27,0)</f>
        <v>0</v>
      </c>
    </row>
    <row r="11" customFormat="false" ht="15" hidden="false" customHeight="false" outlineLevel="0" collapsed="false">
      <c r="A11" s="35" t="s">
        <v>206</v>
      </c>
      <c r="B11" s="17" t="s">
        <v>205</v>
      </c>
      <c r="C11" s="31" t="n">
        <f aca="false">0</f>
        <v>0</v>
      </c>
      <c r="D11" s="31" t="n">
        <f aca="false">D6*Assumptions!$C$28</f>
        <v>0</v>
      </c>
      <c r="E11" s="31" t="n">
        <f aca="false">E6*Assumptions!$C$28</f>
        <v>0</v>
      </c>
      <c r="F11" s="31" t="n">
        <f aca="false">F6*Assumptions!$C$28</f>
        <v>0</v>
      </c>
      <c r="G11" s="31" t="n">
        <f aca="false">G6*Assumptions!$C$28</f>
        <v>0</v>
      </c>
      <c r="H11" s="31" t="n">
        <f aca="false">H6*Assumptions!$C$28</f>
        <v>0</v>
      </c>
      <c r="I11" s="31" t="n">
        <f aca="false">I6*Assumptions!$C$28</f>
        <v>0</v>
      </c>
      <c r="J11" s="31" t="n">
        <f aca="false">J6*Assumptions!$C$28</f>
        <v>0</v>
      </c>
      <c r="K11" s="31" t="n">
        <f aca="false">K6*Assumptions!$C$28</f>
        <v>0</v>
      </c>
      <c r="L11" s="31" t="n">
        <f aca="false">L6*Assumptions!$C$28</f>
        <v>0</v>
      </c>
      <c r="M11" s="31" t="n">
        <f aca="false">M6*Assumptions!$C$28</f>
        <v>0</v>
      </c>
      <c r="N11" s="31" t="n">
        <f aca="false">N6*Assumptions!$C$28</f>
        <v>0</v>
      </c>
      <c r="O11" s="31" t="n">
        <f aca="false">O6*Assumptions!$C$28</f>
        <v>0</v>
      </c>
      <c r="P11" s="31" t="n">
        <f aca="false">P6*Assumptions!$C$28</f>
        <v>0</v>
      </c>
      <c r="Q11" s="31" t="n">
        <f aca="false">Q6*Assumptions!$C$28</f>
        <v>0</v>
      </c>
      <c r="R11" s="31" t="n">
        <f aca="false">R6*Assumptions!$C$28</f>
        <v>0</v>
      </c>
      <c r="S11" s="31" t="n">
        <f aca="false">S6*Assumptions!$C$28</f>
        <v>0</v>
      </c>
      <c r="T11" s="31" t="n">
        <f aca="false">T6*Assumptions!$C$28</f>
        <v>0</v>
      </c>
      <c r="U11" s="31" t="n">
        <f aca="false">U6*Assumptions!$C$28</f>
        <v>0</v>
      </c>
      <c r="V11" s="31" t="n">
        <f aca="false">V6*Assumptions!$C$28</f>
        <v>0</v>
      </c>
      <c r="W11" s="31" t="n">
        <f aca="false">W6*Assumptions!$C$28</f>
        <v>0</v>
      </c>
      <c r="X11" s="31" t="n">
        <f aca="false">X6*Assumptions!$C$28</f>
        <v>0</v>
      </c>
      <c r="Y11" s="31" t="n">
        <f aca="false">Y6*Assumptions!$C$28</f>
        <v>0</v>
      </c>
      <c r="Z11" s="31" t="n">
        <f aca="false">Z6*Assumptions!$C$28</f>
        <v>0</v>
      </c>
      <c r="AA11" s="31" t="n">
        <f aca="false">AA6*Assumptions!$C$28</f>
        <v>0</v>
      </c>
      <c r="AB11" s="31" t="n">
        <f aca="false">AB6*Assumptions!$C$28</f>
        <v>0</v>
      </c>
      <c r="AC11" s="31" t="n">
        <f aca="false">AC6*Assumptions!$C$28</f>
        <v>0</v>
      </c>
      <c r="AD11" s="31" t="n">
        <f aca="false">AD6*Assumptions!$C$28</f>
        <v>0</v>
      </c>
      <c r="AE11" s="31" t="n">
        <f aca="false">AE6*Assumptions!$C$28</f>
        <v>0</v>
      </c>
      <c r="AF11" s="31" t="n">
        <f aca="false">AF6*Assumptions!$C$28</f>
        <v>0</v>
      </c>
      <c r="AG11" s="31" t="n">
        <f aca="false">AG6*Assumptions!$C$28</f>
        <v>0</v>
      </c>
    </row>
    <row r="12" customFormat="false" ht="15" hidden="false" customHeight="false" outlineLevel="0" collapsed="false">
      <c r="A12" s="35" t="s">
        <v>97</v>
      </c>
      <c r="B12" s="17" t="s">
        <v>205</v>
      </c>
      <c r="C12" s="31" t="n">
        <f aca="false">0</f>
        <v>0</v>
      </c>
      <c r="D12" s="31" t="n">
        <f aca="false">D6*Assumptions!$C$29</f>
        <v>0</v>
      </c>
      <c r="E12" s="31" t="n">
        <f aca="false">E6*Assumptions!$C$29</f>
        <v>0</v>
      </c>
      <c r="F12" s="31" t="n">
        <f aca="false">F6*Assumptions!$C$29</f>
        <v>0</v>
      </c>
      <c r="G12" s="31" t="n">
        <f aca="false">G6*Assumptions!$C$29</f>
        <v>0</v>
      </c>
      <c r="H12" s="31" t="n">
        <f aca="false">H6*Assumptions!$C$29</f>
        <v>0</v>
      </c>
      <c r="I12" s="31" t="n">
        <f aca="false">I6*Assumptions!$C$29</f>
        <v>0</v>
      </c>
      <c r="J12" s="31" t="n">
        <f aca="false">J6*Assumptions!$C$29</f>
        <v>0</v>
      </c>
      <c r="K12" s="31" t="n">
        <f aca="false">K6*Assumptions!$C$29</f>
        <v>0</v>
      </c>
      <c r="L12" s="31" t="n">
        <f aca="false">L6*Assumptions!$C$29</f>
        <v>0</v>
      </c>
      <c r="M12" s="31" t="n">
        <f aca="false">M6*Assumptions!$C$29</f>
        <v>0</v>
      </c>
      <c r="N12" s="31" t="n">
        <f aca="false">N6*Assumptions!$C$29</f>
        <v>0</v>
      </c>
      <c r="O12" s="31" t="n">
        <f aca="false">O6*Assumptions!$C$29</f>
        <v>0</v>
      </c>
      <c r="P12" s="31" t="n">
        <f aca="false">P6*Assumptions!$C$29</f>
        <v>0</v>
      </c>
      <c r="Q12" s="31" t="n">
        <f aca="false">Q6*Assumptions!$C$29</f>
        <v>0</v>
      </c>
      <c r="R12" s="31" t="n">
        <f aca="false">R6*Assumptions!$C$29</f>
        <v>0</v>
      </c>
      <c r="S12" s="31" t="n">
        <f aca="false">S6*Assumptions!$C$29</f>
        <v>0</v>
      </c>
      <c r="T12" s="31" t="n">
        <f aca="false">T6*Assumptions!$C$29</f>
        <v>0</v>
      </c>
      <c r="U12" s="31" t="n">
        <f aca="false">U6*Assumptions!$C$29</f>
        <v>0</v>
      </c>
      <c r="V12" s="31" t="n">
        <f aca="false">V6*Assumptions!$C$29</f>
        <v>0</v>
      </c>
      <c r="W12" s="31" t="n">
        <f aca="false">W6*Assumptions!$C$29</f>
        <v>0</v>
      </c>
      <c r="X12" s="31" t="n">
        <f aca="false">X6*Assumptions!$C$29</f>
        <v>0</v>
      </c>
      <c r="Y12" s="31" t="n">
        <f aca="false">Y6*Assumptions!$C$29</f>
        <v>0</v>
      </c>
      <c r="Z12" s="31" t="n">
        <f aca="false">Z6*Assumptions!$C$29</f>
        <v>0</v>
      </c>
      <c r="AA12" s="31" t="n">
        <f aca="false">AA6*Assumptions!$C$29</f>
        <v>0</v>
      </c>
      <c r="AB12" s="31" t="n">
        <f aca="false">AB6*Assumptions!$C$29</f>
        <v>0</v>
      </c>
      <c r="AC12" s="31" t="n">
        <f aca="false">AC6*Assumptions!$C$29</f>
        <v>0</v>
      </c>
      <c r="AD12" s="31" t="n">
        <f aca="false">AD6*Assumptions!$C$29</f>
        <v>0</v>
      </c>
      <c r="AE12" s="31" t="n">
        <f aca="false">AE6*Assumptions!$C$29</f>
        <v>0</v>
      </c>
      <c r="AF12" s="31" t="n">
        <f aca="false">AF6*Assumptions!$C$29</f>
        <v>0</v>
      </c>
      <c r="AG12" s="31" t="n">
        <f aca="false">AG6*Assumptions!$C$29</f>
        <v>0</v>
      </c>
    </row>
    <row r="13" customFormat="false" ht="15" hidden="false" customHeight="false" outlineLevel="0" collapsed="false">
      <c r="A13" s="35" t="s">
        <v>99</v>
      </c>
      <c r="B13" s="17" t="s">
        <v>205</v>
      </c>
      <c r="C13" s="31" t="n">
        <f aca="false">0</f>
        <v>0</v>
      </c>
      <c r="D13" s="31" t="n">
        <f aca="false">D6*Assumptions!$C$30</f>
        <v>0</v>
      </c>
      <c r="E13" s="31" t="n">
        <f aca="false">E6*Assumptions!$C$30</f>
        <v>0</v>
      </c>
      <c r="F13" s="31" t="n">
        <f aca="false">F6*Assumptions!$C$30</f>
        <v>0</v>
      </c>
      <c r="G13" s="31" t="n">
        <f aca="false">G6*Assumptions!$C$30</f>
        <v>0</v>
      </c>
      <c r="H13" s="31" t="n">
        <f aca="false">H6*Assumptions!$C$30</f>
        <v>0</v>
      </c>
      <c r="I13" s="31" t="n">
        <f aca="false">I6*Assumptions!$C$30</f>
        <v>0</v>
      </c>
      <c r="J13" s="31" t="n">
        <f aca="false">J6*Assumptions!$C$30</f>
        <v>0</v>
      </c>
      <c r="K13" s="31" t="n">
        <f aca="false">K6*Assumptions!$C$30</f>
        <v>0</v>
      </c>
      <c r="L13" s="31" t="n">
        <f aca="false">L6*Assumptions!$C$30</f>
        <v>0</v>
      </c>
      <c r="M13" s="31" t="n">
        <f aca="false">M6*Assumptions!$C$30</f>
        <v>0</v>
      </c>
      <c r="N13" s="31" t="n">
        <f aca="false">N6*Assumptions!$C$30</f>
        <v>0</v>
      </c>
      <c r="O13" s="31" t="n">
        <f aca="false">O6*Assumptions!$C$30</f>
        <v>0</v>
      </c>
      <c r="P13" s="31" t="n">
        <f aca="false">P6*Assumptions!$C$30</f>
        <v>0</v>
      </c>
      <c r="Q13" s="31" t="n">
        <f aca="false">Q6*Assumptions!$C$30</f>
        <v>0</v>
      </c>
      <c r="R13" s="31" t="n">
        <f aca="false">R6*Assumptions!$C$30</f>
        <v>0</v>
      </c>
      <c r="S13" s="31" t="n">
        <f aca="false">S6*Assumptions!$C$30</f>
        <v>0</v>
      </c>
      <c r="T13" s="31" t="n">
        <f aca="false">T6*Assumptions!$C$30</f>
        <v>0</v>
      </c>
      <c r="U13" s="31" t="n">
        <f aca="false">U6*Assumptions!$C$30</f>
        <v>0</v>
      </c>
      <c r="V13" s="31" t="n">
        <f aca="false">V6*Assumptions!$C$30</f>
        <v>0</v>
      </c>
      <c r="W13" s="31" t="n">
        <f aca="false">W6*Assumptions!$C$30</f>
        <v>0</v>
      </c>
      <c r="X13" s="31" t="n">
        <f aca="false">X6*Assumptions!$C$30</f>
        <v>0</v>
      </c>
      <c r="Y13" s="31" t="n">
        <f aca="false">Y6*Assumptions!$C$30</f>
        <v>0</v>
      </c>
      <c r="Z13" s="31" t="n">
        <f aca="false">Z6*Assumptions!$C$30</f>
        <v>0</v>
      </c>
      <c r="AA13" s="31" t="n">
        <f aca="false">AA6*Assumptions!$C$30</f>
        <v>0</v>
      </c>
      <c r="AB13" s="31" t="n">
        <f aca="false">AB6*Assumptions!$C$30</f>
        <v>0</v>
      </c>
      <c r="AC13" s="31" t="n">
        <f aca="false">AC6*Assumptions!$C$30</f>
        <v>0</v>
      </c>
      <c r="AD13" s="31" t="n">
        <f aca="false">AD6*Assumptions!$C$30</f>
        <v>0</v>
      </c>
      <c r="AE13" s="31" t="n">
        <f aca="false">AE6*Assumptions!$C$30</f>
        <v>0</v>
      </c>
      <c r="AF13" s="31" t="n">
        <f aca="false">AF6*Assumptions!$C$30</f>
        <v>0</v>
      </c>
      <c r="AG13" s="31" t="n">
        <f aca="false">AG6*Assumptions!$C$30</f>
        <v>0</v>
      </c>
    </row>
    <row r="14" customFormat="false" ht="15" hidden="false" customHeight="false" outlineLevel="0" collapsed="false">
      <c r="A14" s="35" t="s">
        <v>207</v>
      </c>
      <c r="B14" s="17" t="s">
        <v>205</v>
      </c>
      <c r="C14" s="31" t="n">
        <f aca="false">0</f>
        <v>0</v>
      </c>
      <c r="D14" s="31" t="n">
        <f aca="false">Assumptions!$C$31</f>
        <v>0</v>
      </c>
      <c r="E14" s="31" t="n">
        <f aca="false">Assumptions!$C$31</f>
        <v>0</v>
      </c>
      <c r="F14" s="31" t="n">
        <f aca="false">Assumptions!$C$31</f>
        <v>0</v>
      </c>
      <c r="G14" s="31" t="n">
        <f aca="false">Assumptions!$C$31</f>
        <v>0</v>
      </c>
      <c r="H14" s="31" t="n">
        <f aca="false">Assumptions!$C$31</f>
        <v>0</v>
      </c>
      <c r="I14" s="31" t="n">
        <f aca="false">Assumptions!$C$31</f>
        <v>0</v>
      </c>
      <c r="J14" s="31" t="n">
        <f aca="false">Assumptions!$C$31</f>
        <v>0</v>
      </c>
      <c r="K14" s="31" t="n">
        <f aca="false">Assumptions!$C$31</f>
        <v>0</v>
      </c>
      <c r="L14" s="31" t="n">
        <f aca="false">Assumptions!$C$31</f>
        <v>0</v>
      </c>
      <c r="M14" s="31" t="n">
        <f aca="false">Assumptions!$C$31</f>
        <v>0</v>
      </c>
      <c r="N14" s="31" t="n">
        <f aca="false">Assumptions!$C$31</f>
        <v>0</v>
      </c>
      <c r="O14" s="31" t="n">
        <f aca="false">Assumptions!$C$31</f>
        <v>0</v>
      </c>
      <c r="P14" s="31" t="n">
        <f aca="false">Assumptions!$C$31</f>
        <v>0</v>
      </c>
      <c r="Q14" s="31" t="n">
        <f aca="false">Assumptions!$C$31</f>
        <v>0</v>
      </c>
      <c r="R14" s="31" t="n">
        <f aca="false">Assumptions!$C$31</f>
        <v>0</v>
      </c>
      <c r="S14" s="31" t="n">
        <f aca="false">Assumptions!$C$31</f>
        <v>0</v>
      </c>
      <c r="T14" s="31" t="n">
        <f aca="false">Assumptions!$C$31</f>
        <v>0</v>
      </c>
      <c r="U14" s="31" t="n">
        <f aca="false">Assumptions!$C$31</f>
        <v>0</v>
      </c>
      <c r="V14" s="31" t="n">
        <f aca="false">Assumptions!$C$31</f>
        <v>0</v>
      </c>
      <c r="W14" s="31" t="n">
        <f aca="false">Assumptions!$C$31</f>
        <v>0</v>
      </c>
      <c r="X14" s="31" t="n">
        <f aca="false">Assumptions!$C$31</f>
        <v>0</v>
      </c>
      <c r="Y14" s="31" t="n">
        <f aca="false">Assumptions!$C$31</f>
        <v>0</v>
      </c>
      <c r="Z14" s="31" t="n">
        <f aca="false">Assumptions!$C$31</f>
        <v>0</v>
      </c>
      <c r="AA14" s="31" t="n">
        <f aca="false">Assumptions!$C$31</f>
        <v>0</v>
      </c>
      <c r="AB14" s="31" t="n">
        <f aca="false">Assumptions!$C$31</f>
        <v>0</v>
      </c>
      <c r="AC14" s="31" t="n">
        <f aca="false">Assumptions!$C$31</f>
        <v>0</v>
      </c>
      <c r="AD14" s="31" t="n">
        <f aca="false">Assumptions!$C$31</f>
        <v>0</v>
      </c>
      <c r="AE14" s="31" t="n">
        <f aca="false">Assumptions!$C$31</f>
        <v>0</v>
      </c>
      <c r="AF14" s="31" t="n">
        <f aca="false">Assumptions!$C$31</f>
        <v>0</v>
      </c>
      <c r="AG14" s="31" t="n">
        <f aca="false">Assumptions!$C$31</f>
        <v>0</v>
      </c>
    </row>
    <row r="15" customFormat="false" ht="15" hidden="false" customHeight="false" outlineLevel="0" collapsed="false">
      <c r="A15" s="35" t="s">
        <v>208</v>
      </c>
      <c r="B15" s="17" t="s">
        <v>205</v>
      </c>
      <c r="C15" s="31" t="n">
        <f aca="false">0</f>
        <v>0</v>
      </c>
      <c r="D15" s="31" t="n">
        <f aca="false">0</f>
        <v>0</v>
      </c>
      <c r="E15" s="31" t="n">
        <f aca="false">0</f>
        <v>0</v>
      </c>
      <c r="F15" s="31" t="n">
        <f aca="false">0</f>
        <v>0</v>
      </c>
      <c r="G15" s="31" t="n">
        <f aca="false">0</f>
        <v>0</v>
      </c>
      <c r="H15" s="31" t="n">
        <f aca="false">0</f>
        <v>0</v>
      </c>
      <c r="I15" s="31" t="n">
        <f aca="false">0</f>
        <v>0</v>
      </c>
      <c r="J15" s="31" t="n">
        <f aca="false">0</f>
        <v>0</v>
      </c>
      <c r="K15" s="31" t="n">
        <f aca="false">0</f>
        <v>0</v>
      </c>
      <c r="L15" s="31" t="n">
        <f aca="false">0</f>
        <v>0</v>
      </c>
      <c r="M15" s="31" t="n">
        <f aca="false">0</f>
        <v>0</v>
      </c>
      <c r="N15" s="31" t="n">
        <f aca="false">0</f>
        <v>0</v>
      </c>
      <c r="O15" s="31" t="n">
        <f aca="false">0</f>
        <v>0</v>
      </c>
      <c r="P15" s="31" t="n">
        <f aca="false">0</f>
        <v>0</v>
      </c>
      <c r="Q15" s="31" t="n">
        <f aca="false">0</f>
        <v>0</v>
      </c>
      <c r="R15" s="31" t="n">
        <f aca="false">0</f>
        <v>0</v>
      </c>
      <c r="S15" s="31" t="n">
        <f aca="false">0</f>
        <v>0</v>
      </c>
      <c r="T15" s="31" t="n">
        <f aca="false">0</f>
        <v>0</v>
      </c>
      <c r="U15" s="31" t="n">
        <f aca="false">0</f>
        <v>0</v>
      </c>
      <c r="V15" s="31" t="n">
        <f aca="false">0</f>
        <v>0</v>
      </c>
      <c r="W15" s="31" t="n">
        <f aca="false">0</f>
        <v>0</v>
      </c>
      <c r="X15" s="31" t="n">
        <f aca="false">0</f>
        <v>0</v>
      </c>
      <c r="Y15" s="31" t="n">
        <f aca="false">0</f>
        <v>0</v>
      </c>
      <c r="Z15" s="31" t="n">
        <f aca="false">0</f>
        <v>0</v>
      </c>
      <c r="AA15" s="31" t="n">
        <f aca="false">0</f>
        <v>0</v>
      </c>
      <c r="AB15" s="31" t="n">
        <f aca="false">0</f>
        <v>0</v>
      </c>
      <c r="AC15" s="31" t="n">
        <f aca="false">0</f>
        <v>0</v>
      </c>
      <c r="AD15" s="31" t="n">
        <f aca="false">0</f>
        <v>0</v>
      </c>
      <c r="AE15" s="31" t="n">
        <f aca="false">0</f>
        <v>0</v>
      </c>
      <c r="AF15" s="31" t="n">
        <f aca="false">0</f>
        <v>0</v>
      </c>
      <c r="AG15" s="31" t="n">
        <f aca="false">Assumptions!$C$34*Assumptions!$C$5</f>
        <v>0</v>
      </c>
    </row>
    <row r="16" customFormat="false" ht="15" hidden="false" customHeight="false" outlineLevel="0" collapsed="false">
      <c r="A16" s="36" t="s">
        <v>209</v>
      </c>
      <c r="B16" s="17" t="s">
        <v>205</v>
      </c>
      <c r="C16" s="37" t="n">
        <f aca="false">SUM(C9:C15)</f>
        <v>0</v>
      </c>
      <c r="D16" s="37" t="n">
        <f aca="false">SUM(D9:D15)</f>
        <v>410710</v>
      </c>
      <c r="E16" s="37" t="n">
        <f aca="false">SUM(E9:E15)</f>
        <v>416829.579</v>
      </c>
      <c r="F16" s="37" t="n">
        <f aca="false">SUM(F9:F15)</f>
        <v>423040.3397271</v>
      </c>
      <c r="G16" s="37" t="n">
        <f aca="false">SUM(G9:G15)</f>
        <v>429343.640789034</v>
      </c>
      <c r="H16" s="37" t="n">
        <f aca="false">SUM(H9:H15)</f>
        <v>435740.86103679</v>
      </c>
      <c r="I16" s="37" t="n">
        <f aca="false">SUM(I9:I15)</f>
        <v>442233.399866239</v>
      </c>
      <c r="J16" s="37" t="n">
        <f aca="false">SUM(J9:J15)</f>
        <v>448822.677524246</v>
      </c>
      <c r="K16" s="37" t="n">
        <f aca="false">SUM(K9:K15)</f>
        <v>455510.135419357</v>
      </c>
      <c r="L16" s="37" t="n">
        <f aca="false">SUM(L9:L15)</f>
        <v>462297.236437105</v>
      </c>
      <c r="M16" s="37" t="n">
        <f aca="false">SUM(M9:M15)</f>
        <v>469185.465260018</v>
      </c>
      <c r="N16" s="37" t="n">
        <f aca="false">SUM(N9:N15)</f>
        <v>476176.328692392</v>
      </c>
      <c r="O16" s="37" t="n">
        <f aca="false">SUM(O9:O15)</f>
        <v>483271.355989909</v>
      </c>
      <c r="P16" s="37" t="n">
        <f aca="false">SUM(P9:P15)</f>
        <v>490472.099194159</v>
      </c>
      <c r="Q16" s="37" t="n">
        <f aca="false">SUM(Q9:Q15)</f>
        <v>497780.133472152</v>
      </c>
      <c r="R16" s="37" t="n">
        <f aca="false">SUM(R9:R15)</f>
        <v>505197.057460887</v>
      </c>
      <c r="S16" s="37" t="n">
        <f aca="false">SUM(S9:S15)</f>
        <v>284299.888942818</v>
      </c>
      <c r="T16" s="37" t="n">
        <f aca="false">SUM(T9:T15)</f>
        <v>282878.389498103</v>
      </c>
      <c r="U16" s="37" t="n">
        <f aca="false">SUM(U9:U15)</f>
        <v>281463.997550613</v>
      </c>
      <c r="V16" s="37" t="n">
        <f aca="false">SUM(V9:V15)</f>
        <v>280056.67756286</v>
      </c>
      <c r="W16" s="37" t="n">
        <f aca="false">SUM(W9:W15)</f>
        <v>278656.394175046</v>
      </c>
      <c r="X16" s="37" t="n">
        <f aca="false">SUM(X9:X15)</f>
        <v>277263.11220417</v>
      </c>
      <c r="Y16" s="37" t="n">
        <f aca="false">SUM(Y9:Y15)</f>
        <v>275876.796643149</v>
      </c>
      <c r="Z16" s="37" t="n">
        <f aca="false">SUM(Z9:Z15)</f>
        <v>274497.412659934</v>
      </c>
      <c r="AA16" s="37" t="n">
        <f aca="false">SUM(AA9:AA15)</f>
        <v>273124.925596634</v>
      </c>
      <c r="AB16" s="37" t="n">
        <f aca="false">SUM(AB9:AB15)</f>
        <v>271759.300968651</v>
      </c>
      <c r="AC16" s="37" t="n">
        <f aca="false">SUM(AC9:AC15)</f>
        <v>270400.504463808</v>
      </c>
      <c r="AD16" s="37" t="n">
        <f aca="false">SUM(AD9:AD15)</f>
        <v>269048.501941489</v>
      </c>
      <c r="AE16" s="37" t="n">
        <f aca="false">SUM(AE9:AE15)</f>
        <v>267703.259431781</v>
      </c>
      <c r="AF16" s="37" t="n">
        <f aca="false">SUM(AF9:AF15)</f>
        <v>266364.743134622</v>
      </c>
      <c r="AG16" s="37" t="n">
        <f aca="false">SUM(AG9:AG15)</f>
        <v>265032.919418949</v>
      </c>
    </row>
    <row r="18" customFormat="false" ht="19.5" hidden="false" customHeight="true" outlineLevel="0" collapsed="false">
      <c r="A18" s="15" t="s">
        <v>110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customFormat="false" ht="15" hidden="false" customHeight="false" outlineLevel="0" collapsed="false">
      <c r="A19" s="35" t="s">
        <v>111</v>
      </c>
      <c r="B19" s="17" t="s">
        <v>205</v>
      </c>
      <c r="C19" s="31" t="n">
        <f aca="false">0</f>
        <v>0</v>
      </c>
      <c r="D19" s="31" t="n">
        <f aca="false">-Assumptions!$C$38*Assumptions!$C$5*(1+Assumptions!$C$39)^(1-1)</f>
        <v>-55000</v>
      </c>
      <c r="E19" s="31" t="n">
        <f aca="false">-Assumptions!$C$38*Assumptions!$C$5*(1+Assumptions!$C$39)^(2-1)</f>
        <v>-56100</v>
      </c>
      <c r="F19" s="31" t="n">
        <f aca="false">-Assumptions!$C$38*Assumptions!$C$5*(1+Assumptions!$C$39)^(3-1)</f>
        <v>-57222</v>
      </c>
      <c r="G19" s="31" t="n">
        <f aca="false">-Assumptions!$C$38*Assumptions!$C$5*(1+Assumptions!$C$39)^(4-1)</f>
        <v>-58366.44</v>
      </c>
      <c r="H19" s="31" t="n">
        <f aca="false">-Assumptions!$C$38*Assumptions!$C$5*(1+Assumptions!$C$39)^(5-1)</f>
        <v>-59533.7688</v>
      </c>
      <c r="I19" s="31" t="n">
        <f aca="false">-Assumptions!$C$38*Assumptions!$C$5*(1+Assumptions!$C$39)^(6-1)</f>
        <v>-60724.444176</v>
      </c>
      <c r="J19" s="31" t="n">
        <f aca="false">-Assumptions!$C$38*Assumptions!$C$5*(1+Assumptions!$C$39)^(7-1)</f>
        <v>-61938.93305952</v>
      </c>
      <c r="K19" s="31" t="n">
        <f aca="false">-Assumptions!$C$38*Assumptions!$C$5*(1+Assumptions!$C$39)^(8-1)</f>
        <v>-63177.7117207104</v>
      </c>
      <c r="L19" s="31" t="n">
        <f aca="false">-Assumptions!$C$38*Assumptions!$C$5*(1+Assumptions!$C$39)^(9-1)</f>
        <v>-64441.2659551246</v>
      </c>
      <c r="M19" s="31" t="n">
        <f aca="false">-Assumptions!$C$38*Assumptions!$C$5*(1+Assumptions!$C$39)^(10-1)</f>
        <v>-65730.0912742271</v>
      </c>
      <c r="N19" s="31" t="n">
        <f aca="false">-Assumptions!$C$38*Assumptions!$C$5*(1+Assumptions!$C$39)^(11-1)</f>
        <v>-67044.6930997117</v>
      </c>
      <c r="O19" s="31" t="n">
        <f aca="false">-Assumptions!$C$38*Assumptions!$C$5*(1+Assumptions!$C$39)^(12-1)</f>
        <v>-68385.5869617059</v>
      </c>
      <c r="P19" s="31" t="n">
        <f aca="false">-Assumptions!$C$38*Assumptions!$C$5*(1+Assumptions!$C$39)^(13-1)</f>
        <v>-69753.29870094</v>
      </c>
      <c r="Q19" s="31" t="n">
        <f aca="false">-Assumptions!$C$38*Assumptions!$C$5*(1+Assumptions!$C$39)^(14-1)</f>
        <v>-71148.3646749588</v>
      </c>
      <c r="R19" s="31" t="n">
        <f aca="false">-Assumptions!$C$38*Assumptions!$C$5*(1+Assumptions!$C$39)^(15-1)</f>
        <v>-72571.331968458</v>
      </c>
      <c r="S19" s="31" t="n">
        <f aca="false">-Assumptions!$C$38*Assumptions!$C$5*(1+Assumptions!$C$39)^(16-1)</f>
        <v>-74022.7586078271</v>
      </c>
      <c r="T19" s="31" t="n">
        <f aca="false">-Assumptions!$C$38*Assumptions!$C$5*(1+Assumptions!$C$39)^(17-1)</f>
        <v>-75503.2137799837</v>
      </c>
      <c r="U19" s="31" t="n">
        <f aca="false">-Assumptions!$C$38*Assumptions!$C$5*(1+Assumptions!$C$39)^(18-1)</f>
        <v>-77013.2780555834</v>
      </c>
      <c r="V19" s="31" t="n">
        <f aca="false">-Assumptions!$C$38*Assumptions!$C$5*(1+Assumptions!$C$39)^(19-1)</f>
        <v>-78553.543616695</v>
      </c>
      <c r="W19" s="31" t="n">
        <f aca="false">-Assumptions!$C$38*Assumptions!$C$5*(1+Assumptions!$C$39)^(20-1)</f>
        <v>-80124.6144890289</v>
      </c>
      <c r="X19" s="31" t="n">
        <f aca="false">-Assumptions!$C$38*Assumptions!$C$5*(1+Assumptions!$C$39)^(21-1)</f>
        <v>-81727.1067788095</v>
      </c>
      <c r="Y19" s="31" t="n">
        <f aca="false">-Assumptions!$C$38*Assumptions!$C$5*(1+Assumptions!$C$39)^(22-1)</f>
        <v>-83361.6489143857</v>
      </c>
      <c r="Z19" s="31" t="n">
        <f aca="false">-Assumptions!$C$38*Assumptions!$C$5*(1+Assumptions!$C$39)^(23-1)</f>
        <v>-85028.8818926734</v>
      </c>
      <c r="AA19" s="31" t="n">
        <f aca="false">-Assumptions!$C$38*Assumptions!$C$5*(1+Assumptions!$C$39)^(24-1)</f>
        <v>-86729.4595305269</v>
      </c>
      <c r="AB19" s="31" t="n">
        <f aca="false">-Assumptions!$C$38*Assumptions!$C$5*(1+Assumptions!$C$39)^(25-1)</f>
        <v>-88464.0487211374</v>
      </c>
      <c r="AC19" s="31" t="n">
        <f aca="false">-Assumptions!$C$38*Assumptions!$C$5*(1+Assumptions!$C$39)^(26-1)</f>
        <v>-90233.3296955602</v>
      </c>
      <c r="AD19" s="31" t="n">
        <f aca="false">-Assumptions!$C$38*Assumptions!$C$5*(1+Assumptions!$C$39)^(27-1)</f>
        <v>-92037.9962894714</v>
      </c>
      <c r="AE19" s="31" t="n">
        <f aca="false">-Assumptions!$C$38*Assumptions!$C$5*(1+Assumptions!$C$39)^(28-1)</f>
        <v>-93878.7562152608</v>
      </c>
      <c r="AF19" s="31" t="n">
        <f aca="false">-Assumptions!$C$38*Assumptions!$C$5*(1+Assumptions!$C$39)^(29-1)</f>
        <v>-95756.331339566</v>
      </c>
      <c r="AG19" s="31" t="n">
        <f aca="false">-Assumptions!$C$38*Assumptions!$C$5*(1+Assumptions!$C$39)^(30-1)</f>
        <v>-97671.4579663574</v>
      </c>
    </row>
    <row r="20" customFormat="false" ht="15" hidden="false" customHeight="false" outlineLevel="0" collapsed="false">
      <c r="A20" s="35" t="s">
        <v>116</v>
      </c>
      <c r="B20" s="17" t="s">
        <v>205</v>
      </c>
      <c r="C20" s="31" t="n">
        <f aca="false">0</f>
        <v>0</v>
      </c>
      <c r="D20" s="31" t="n">
        <f aca="false">-Assumptions!$C$40*Assumptions!$C$9*(1+Assumptions!$C$39)^(1-1)</f>
        <v>-17500</v>
      </c>
      <c r="E20" s="31" t="n">
        <f aca="false">-Assumptions!$C$40*Assumptions!$C$9*(1+Assumptions!$C$39)^(2-1)</f>
        <v>-17850</v>
      </c>
      <c r="F20" s="31" t="n">
        <f aca="false">-Assumptions!$C$40*Assumptions!$C$9*(1+Assumptions!$C$39)^(3-1)</f>
        <v>-18207</v>
      </c>
      <c r="G20" s="31" t="n">
        <f aca="false">-Assumptions!$C$40*Assumptions!$C$9*(1+Assumptions!$C$39)^(4-1)</f>
        <v>-18571.14</v>
      </c>
      <c r="H20" s="31" t="n">
        <f aca="false">-Assumptions!$C$40*Assumptions!$C$9*(1+Assumptions!$C$39)^(5-1)</f>
        <v>-18942.5628</v>
      </c>
      <c r="I20" s="31" t="n">
        <f aca="false">-Assumptions!$C$40*Assumptions!$C$9*(1+Assumptions!$C$39)^(6-1)</f>
        <v>-19321.414056</v>
      </c>
      <c r="J20" s="31" t="n">
        <f aca="false">-Assumptions!$C$40*Assumptions!$C$9*(1+Assumptions!$C$39)^(7-1)</f>
        <v>-19707.84233712</v>
      </c>
      <c r="K20" s="31" t="n">
        <f aca="false">-Assumptions!$C$40*Assumptions!$C$9*(1+Assumptions!$C$39)^(8-1)</f>
        <v>-20101.9991838624</v>
      </c>
      <c r="L20" s="31" t="n">
        <f aca="false">-Assumptions!$C$40*Assumptions!$C$9*(1+Assumptions!$C$39)^(9-1)</f>
        <v>-20504.0391675397</v>
      </c>
      <c r="M20" s="31" t="n">
        <f aca="false">-Assumptions!$C$40*Assumptions!$C$9*(1+Assumptions!$C$39)^(10-1)</f>
        <v>-20914.1199508904</v>
      </c>
      <c r="N20" s="31" t="n">
        <f aca="false">-Assumptions!$C$40*Assumptions!$C$9*(1+Assumptions!$C$39)^(11-1)</f>
        <v>-21332.4023499083</v>
      </c>
      <c r="O20" s="31" t="n">
        <f aca="false">-Assumptions!$C$40*Assumptions!$C$9*(1+Assumptions!$C$39)^(12-1)</f>
        <v>-21759.0503969064</v>
      </c>
      <c r="P20" s="31" t="n">
        <f aca="false">-Assumptions!$C$40*Assumptions!$C$9*(1+Assumptions!$C$39)^(13-1)</f>
        <v>-22194.2314048445</v>
      </c>
      <c r="Q20" s="31" t="n">
        <f aca="false">-Assumptions!$C$40*Assumptions!$C$9*(1+Assumptions!$C$39)^(14-1)</f>
        <v>-22638.1160329414</v>
      </c>
      <c r="R20" s="31" t="n">
        <f aca="false">-Assumptions!$C$40*Assumptions!$C$9*(1+Assumptions!$C$39)^(15-1)</f>
        <v>-23090.8783536003</v>
      </c>
      <c r="S20" s="31" t="n">
        <f aca="false">-Assumptions!$C$40*Assumptions!$C$9*(1+Assumptions!$C$39)^(16-1)</f>
        <v>-23552.6959206723</v>
      </c>
      <c r="T20" s="31" t="n">
        <f aca="false">-Assumptions!$C$40*Assumptions!$C$9*(1+Assumptions!$C$39)^(17-1)</f>
        <v>-24023.7498390857</v>
      </c>
      <c r="U20" s="31" t="n">
        <f aca="false">-Assumptions!$C$40*Assumptions!$C$9*(1+Assumptions!$C$39)^(18-1)</f>
        <v>-24504.2248358674</v>
      </c>
      <c r="V20" s="31" t="n">
        <f aca="false">-Assumptions!$C$40*Assumptions!$C$9*(1+Assumptions!$C$39)^(19-1)</f>
        <v>-24994.3093325848</v>
      </c>
      <c r="W20" s="31" t="n">
        <f aca="false">-Assumptions!$C$40*Assumptions!$C$9*(1+Assumptions!$C$39)^(20-1)</f>
        <v>-25494.1955192365</v>
      </c>
      <c r="X20" s="31" t="n">
        <f aca="false">-Assumptions!$C$40*Assumptions!$C$9*(1+Assumptions!$C$39)^(21-1)</f>
        <v>-26004.0794296212</v>
      </c>
      <c r="Y20" s="31" t="n">
        <f aca="false">-Assumptions!$C$40*Assumptions!$C$9*(1+Assumptions!$C$39)^(22-1)</f>
        <v>-26524.1610182136</v>
      </c>
      <c r="Z20" s="31" t="n">
        <f aca="false">-Assumptions!$C$40*Assumptions!$C$9*(1+Assumptions!$C$39)^(23-1)</f>
        <v>-27054.6442385779</v>
      </c>
      <c r="AA20" s="31" t="n">
        <f aca="false">-Assumptions!$C$40*Assumptions!$C$9*(1+Assumptions!$C$39)^(24-1)</f>
        <v>-27595.7371233495</v>
      </c>
      <c r="AB20" s="31" t="n">
        <f aca="false">-Assumptions!$C$40*Assumptions!$C$9*(1+Assumptions!$C$39)^(25-1)</f>
        <v>-28147.6518658165</v>
      </c>
      <c r="AC20" s="31" t="n">
        <f aca="false">-Assumptions!$C$40*Assumptions!$C$9*(1+Assumptions!$C$39)^(26-1)</f>
        <v>-28710.6049031328</v>
      </c>
      <c r="AD20" s="31" t="n">
        <f aca="false">-Assumptions!$C$40*Assumptions!$C$9*(1+Assumptions!$C$39)^(27-1)</f>
        <v>-29284.8170011954</v>
      </c>
      <c r="AE20" s="31" t="n">
        <f aca="false">-Assumptions!$C$40*Assumptions!$C$9*(1+Assumptions!$C$39)^(28-1)</f>
        <v>-29870.5133412194</v>
      </c>
      <c r="AF20" s="31" t="n">
        <f aca="false">-Assumptions!$C$40*Assumptions!$C$9*(1+Assumptions!$C$39)^(29-1)</f>
        <v>-30467.9236080437</v>
      </c>
      <c r="AG20" s="31" t="n">
        <f aca="false">-Assumptions!$C$40*Assumptions!$C$9*(1+Assumptions!$C$39)^(30-1)</f>
        <v>-31077.2820802046</v>
      </c>
    </row>
    <row r="21" customFormat="false" ht="15" hidden="false" customHeight="false" outlineLevel="0" collapsed="false">
      <c r="A21" s="35" t="s">
        <v>119</v>
      </c>
      <c r="B21" s="17" t="s">
        <v>205</v>
      </c>
      <c r="C21" s="31" t="n">
        <f aca="false">0</f>
        <v>0</v>
      </c>
      <c r="D21" s="31" t="n">
        <f aca="false">-Assumptions!$C$41*Assumptions!$C$64</f>
        <v>-14162.5</v>
      </c>
      <c r="E21" s="31" t="n">
        <f aca="false">-Assumptions!$C$41*Assumptions!$C$64</f>
        <v>-14162.5</v>
      </c>
      <c r="F21" s="31" t="n">
        <f aca="false">-Assumptions!$C$41*Assumptions!$C$64</f>
        <v>-14162.5</v>
      </c>
      <c r="G21" s="31" t="n">
        <f aca="false">-Assumptions!$C$41*Assumptions!$C$64</f>
        <v>-14162.5</v>
      </c>
      <c r="H21" s="31" t="n">
        <f aca="false">-Assumptions!$C$41*Assumptions!$C$64</f>
        <v>-14162.5</v>
      </c>
      <c r="I21" s="31" t="n">
        <f aca="false">-Assumptions!$C$41*Assumptions!$C$64</f>
        <v>-14162.5</v>
      </c>
      <c r="J21" s="31" t="n">
        <f aca="false">-Assumptions!$C$41*Assumptions!$C$64</f>
        <v>-14162.5</v>
      </c>
      <c r="K21" s="31" t="n">
        <f aca="false">-Assumptions!$C$41*Assumptions!$C$64</f>
        <v>-14162.5</v>
      </c>
      <c r="L21" s="31" t="n">
        <f aca="false">-Assumptions!$C$41*Assumptions!$C$64</f>
        <v>-14162.5</v>
      </c>
      <c r="M21" s="31" t="n">
        <f aca="false">-Assumptions!$C$41*Assumptions!$C$64</f>
        <v>-14162.5</v>
      </c>
      <c r="N21" s="31" t="n">
        <f aca="false">-Assumptions!$C$41*Assumptions!$C$64</f>
        <v>-14162.5</v>
      </c>
      <c r="O21" s="31" t="n">
        <f aca="false">-Assumptions!$C$41*Assumptions!$C$64</f>
        <v>-14162.5</v>
      </c>
      <c r="P21" s="31" t="n">
        <f aca="false">-Assumptions!$C$41*Assumptions!$C$64</f>
        <v>-14162.5</v>
      </c>
      <c r="Q21" s="31" t="n">
        <f aca="false">-Assumptions!$C$41*Assumptions!$C$64</f>
        <v>-14162.5</v>
      </c>
      <c r="R21" s="31" t="n">
        <f aca="false">-Assumptions!$C$41*Assumptions!$C$64</f>
        <v>-14162.5</v>
      </c>
      <c r="S21" s="31" t="n">
        <f aca="false">-Assumptions!$C$41*Assumptions!$C$64</f>
        <v>-14162.5</v>
      </c>
      <c r="T21" s="31" t="n">
        <f aca="false">-Assumptions!$C$41*Assumptions!$C$64</f>
        <v>-14162.5</v>
      </c>
      <c r="U21" s="31" t="n">
        <f aca="false">-Assumptions!$C$41*Assumptions!$C$64</f>
        <v>-14162.5</v>
      </c>
      <c r="V21" s="31" t="n">
        <f aca="false">-Assumptions!$C$41*Assumptions!$C$64</f>
        <v>-14162.5</v>
      </c>
      <c r="W21" s="31" t="n">
        <f aca="false">-Assumptions!$C$41*Assumptions!$C$64</f>
        <v>-14162.5</v>
      </c>
      <c r="X21" s="31" t="n">
        <f aca="false">-Assumptions!$C$41*Assumptions!$C$64</f>
        <v>-14162.5</v>
      </c>
      <c r="Y21" s="31" t="n">
        <f aca="false">-Assumptions!$C$41*Assumptions!$C$64</f>
        <v>-14162.5</v>
      </c>
      <c r="Z21" s="31" t="n">
        <f aca="false">-Assumptions!$C$41*Assumptions!$C$64</f>
        <v>-14162.5</v>
      </c>
      <c r="AA21" s="31" t="n">
        <f aca="false">-Assumptions!$C$41*Assumptions!$C$64</f>
        <v>-14162.5</v>
      </c>
      <c r="AB21" s="31" t="n">
        <f aca="false">-Assumptions!$C$41*Assumptions!$C$64</f>
        <v>-14162.5</v>
      </c>
      <c r="AC21" s="31" t="n">
        <f aca="false">-Assumptions!$C$41*Assumptions!$C$64</f>
        <v>-14162.5</v>
      </c>
      <c r="AD21" s="31" t="n">
        <f aca="false">-Assumptions!$C$41*Assumptions!$C$64</f>
        <v>-14162.5</v>
      </c>
      <c r="AE21" s="31" t="n">
        <f aca="false">-Assumptions!$C$41*Assumptions!$C$64</f>
        <v>-14162.5</v>
      </c>
      <c r="AF21" s="31" t="n">
        <f aca="false">-Assumptions!$C$41*Assumptions!$C$64</f>
        <v>-14162.5</v>
      </c>
      <c r="AG21" s="31" t="n">
        <f aca="false">-Assumptions!$C$41*Assumptions!$C$64</f>
        <v>-14162.5</v>
      </c>
    </row>
    <row r="22" customFormat="false" ht="15" hidden="false" customHeight="false" outlineLevel="0" collapsed="false">
      <c r="A22" s="35" t="s">
        <v>210</v>
      </c>
      <c r="B22" s="17" t="s">
        <v>205</v>
      </c>
      <c r="C22" s="31" t="n">
        <f aca="false">0</f>
        <v>0</v>
      </c>
      <c r="D22" s="31" t="n">
        <f aca="false">-Assumptions!$C$42*(1+Assumptions!$C$39)^(1-1)</f>
        <v>-5000</v>
      </c>
      <c r="E22" s="31" t="n">
        <f aca="false">-Assumptions!$C$42*(1+Assumptions!$C$39)^(2-1)</f>
        <v>-5100</v>
      </c>
      <c r="F22" s="31" t="n">
        <f aca="false">-Assumptions!$C$42*(1+Assumptions!$C$39)^(3-1)</f>
        <v>-5202</v>
      </c>
      <c r="G22" s="31" t="n">
        <f aca="false">-Assumptions!$C$42*(1+Assumptions!$C$39)^(4-1)</f>
        <v>-5306.04</v>
      </c>
      <c r="H22" s="31" t="n">
        <f aca="false">-Assumptions!$C$42*(1+Assumptions!$C$39)^(5-1)</f>
        <v>-5412.1608</v>
      </c>
      <c r="I22" s="31" t="n">
        <f aca="false">-Assumptions!$C$42*(1+Assumptions!$C$39)^(6-1)</f>
        <v>-5520.404016</v>
      </c>
      <c r="J22" s="31" t="n">
        <f aca="false">-Assumptions!$C$42*(1+Assumptions!$C$39)^(7-1)</f>
        <v>-5630.81209632</v>
      </c>
      <c r="K22" s="31" t="n">
        <f aca="false">-Assumptions!$C$42*(1+Assumptions!$C$39)^(8-1)</f>
        <v>-5743.4283382464</v>
      </c>
      <c r="L22" s="31" t="n">
        <f aca="false">-Assumptions!$C$42*(1+Assumptions!$C$39)^(9-1)</f>
        <v>-5858.29690501133</v>
      </c>
      <c r="M22" s="31" t="n">
        <f aca="false">-Assumptions!$C$42*(1+Assumptions!$C$39)^(10-1)</f>
        <v>-5975.46284311156</v>
      </c>
      <c r="N22" s="31" t="n">
        <f aca="false">-Assumptions!$C$42*(1+Assumptions!$C$39)^(11-1)</f>
        <v>-6094.97209997379</v>
      </c>
      <c r="O22" s="31" t="n">
        <f aca="false">-Assumptions!$C$42*(1+Assumptions!$C$39)^(12-1)</f>
        <v>-6216.87154197326</v>
      </c>
      <c r="P22" s="31" t="n">
        <f aca="false">-Assumptions!$C$42*(1+Assumptions!$C$39)^(13-1)</f>
        <v>-6341.20897281273</v>
      </c>
      <c r="Q22" s="31" t="n">
        <f aca="false">-Assumptions!$C$42*(1+Assumptions!$C$39)^(14-1)</f>
        <v>-6468.03315226898</v>
      </c>
      <c r="R22" s="31" t="n">
        <f aca="false">-Assumptions!$C$42*(1+Assumptions!$C$39)^(15-1)</f>
        <v>-6597.39381531436</v>
      </c>
      <c r="S22" s="31" t="n">
        <f aca="false">-Assumptions!$C$42*(1+Assumptions!$C$39)^(16-1)</f>
        <v>-6729.34169162065</v>
      </c>
      <c r="T22" s="31" t="n">
        <f aca="false">-Assumptions!$C$42*(1+Assumptions!$C$39)^(17-1)</f>
        <v>-6863.92852545306</v>
      </c>
      <c r="U22" s="31" t="n">
        <f aca="false">-Assumptions!$C$42*(1+Assumptions!$C$39)^(18-1)</f>
        <v>-7001.20709596212</v>
      </c>
      <c r="V22" s="31" t="n">
        <f aca="false">-Assumptions!$C$42*(1+Assumptions!$C$39)^(19-1)</f>
        <v>-7141.23123788137</v>
      </c>
      <c r="W22" s="31" t="n">
        <f aca="false">-Assumptions!$C$42*(1+Assumptions!$C$39)^(20-1)</f>
        <v>-7284.05586263899</v>
      </c>
      <c r="X22" s="31" t="n">
        <f aca="false">-Assumptions!$C$42*(1+Assumptions!$C$39)^(21-1)</f>
        <v>-7429.73697989177</v>
      </c>
      <c r="Y22" s="31" t="n">
        <f aca="false">-Assumptions!$C$42*(1+Assumptions!$C$39)^(22-1)</f>
        <v>-7578.33171948961</v>
      </c>
      <c r="Z22" s="31" t="n">
        <f aca="false">-Assumptions!$C$42*(1+Assumptions!$C$39)^(23-1)</f>
        <v>-7729.8983538794</v>
      </c>
      <c r="AA22" s="31" t="n">
        <f aca="false">-Assumptions!$C$42*(1+Assumptions!$C$39)^(24-1)</f>
        <v>-7884.49632095699</v>
      </c>
      <c r="AB22" s="31" t="n">
        <f aca="false">-Assumptions!$C$42*(1+Assumptions!$C$39)^(25-1)</f>
        <v>-8042.18624737613</v>
      </c>
      <c r="AC22" s="31" t="n">
        <f aca="false">-Assumptions!$C$42*(1+Assumptions!$C$39)^(26-1)</f>
        <v>-8203.02997232365</v>
      </c>
      <c r="AD22" s="31" t="n">
        <f aca="false">-Assumptions!$C$42*(1+Assumptions!$C$39)^(27-1)</f>
        <v>-8367.09057177013</v>
      </c>
      <c r="AE22" s="31" t="n">
        <f aca="false">-Assumptions!$C$42*(1+Assumptions!$C$39)^(28-1)</f>
        <v>-8534.43238320553</v>
      </c>
      <c r="AF22" s="31" t="n">
        <f aca="false">-Assumptions!$C$42*(1+Assumptions!$C$39)^(29-1)</f>
        <v>-8705.12103086964</v>
      </c>
      <c r="AG22" s="31" t="n">
        <f aca="false">-Assumptions!$C$42*(1+Assumptions!$C$39)^(30-1)</f>
        <v>-8879.22345148703</v>
      </c>
    </row>
    <row r="23" customFormat="false" ht="15" hidden="false" customHeight="false" outlineLevel="0" collapsed="false">
      <c r="A23" s="35" t="s">
        <v>124</v>
      </c>
      <c r="B23" s="17" t="s">
        <v>205</v>
      </c>
      <c r="C23" s="31" t="n">
        <f aca="false">0</f>
        <v>0</v>
      </c>
      <c r="D23" s="31" t="n">
        <f aca="false">-Assumptions!$C$43*(1+Assumptions!$C$39)^(1-1)</f>
        <v>-0</v>
      </c>
      <c r="E23" s="31" t="n">
        <f aca="false">-Assumptions!$C$43*(1+Assumptions!$C$39)^(2-1)</f>
        <v>-0</v>
      </c>
      <c r="F23" s="31" t="n">
        <f aca="false">-Assumptions!$C$43*(1+Assumptions!$C$39)^(3-1)</f>
        <v>-0</v>
      </c>
      <c r="G23" s="31" t="n">
        <f aca="false">-Assumptions!$C$43*(1+Assumptions!$C$39)^(4-1)</f>
        <v>-0</v>
      </c>
      <c r="H23" s="31" t="n">
        <f aca="false">-Assumptions!$C$43*(1+Assumptions!$C$39)^(5-1)</f>
        <v>-0</v>
      </c>
      <c r="I23" s="31" t="n">
        <f aca="false">-Assumptions!$C$43*(1+Assumptions!$C$39)^(6-1)</f>
        <v>-0</v>
      </c>
      <c r="J23" s="31" t="n">
        <f aca="false">-Assumptions!$C$43*(1+Assumptions!$C$39)^(7-1)</f>
        <v>-0</v>
      </c>
      <c r="K23" s="31" t="n">
        <f aca="false">-Assumptions!$C$43*(1+Assumptions!$C$39)^(8-1)</f>
        <v>-0</v>
      </c>
      <c r="L23" s="31" t="n">
        <f aca="false">-Assumptions!$C$43*(1+Assumptions!$C$39)^(9-1)</f>
        <v>-0</v>
      </c>
      <c r="M23" s="31" t="n">
        <f aca="false">-Assumptions!$C$43*(1+Assumptions!$C$39)^(10-1)</f>
        <v>-0</v>
      </c>
      <c r="N23" s="31" t="n">
        <f aca="false">-Assumptions!$C$43*(1+Assumptions!$C$39)^(11-1)</f>
        <v>-0</v>
      </c>
      <c r="O23" s="31" t="n">
        <f aca="false">-Assumptions!$C$43*(1+Assumptions!$C$39)^(12-1)</f>
        <v>-0</v>
      </c>
      <c r="P23" s="31" t="n">
        <f aca="false">-Assumptions!$C$43*(1+Assumptions!$C$39)^(13-1)</f>
        <v>-0</v>
      </c>
      <c r="Q23" s="31" t="n">
        <f aca="false">-Assumptions!$C$43*(1+Assumptions!$C$39)^(14-1)</f>
        <v>-0</v>
      </c>
      <c r="R23" s="31" t="n">
        <f aca="false">-Assumptions!$C$43*(1+Assumptions!$C$39)^(15-1)</f>
        <v>-0</v>
      </c>
      <c r="S23" s="31" t="n">
        <f aca="false">-Assumptions!$C$43*(1+Assumptions!$C$39)^(16-1)</f>
        <v>-0</v>
      </c>
      <c r="T23" s="31" t="n">
        <f aca="false">-Assumptions!$C$43*(1+Assumptions!$C$39)^(17-1)</f>
        <v>-0</v>
      </c>
      <c r="U23" s="31" t="n">
        <f aca="false">-Assumptions!$C$43*(1+Assumptions!$C$39)^(18-1)</f>
        <v>-0</v>
      </c>
      <c r="V23" s="31" t="n">
        <f aca="false">-Assumptions!$C$43*(1+Assumptions!$C$39)^(19-1)</f>
        <v>-0</v>
      </c>
      <c r="W23" s="31" t="n">
        <f aca="false">-Assumptions!$C$43*(1+Assumptions!$C$39)^(20-1)</f>
        <v>-0</v>
      </c>
      <c r="X23" s="31" t="n">
        <f aca="false">-Assumptions!$C$43*(1+Assumptions!$C$39)^(21-1)</f>
        <v>-0</v>
      </c>
      <c r="Y23" s="31" t="n">
        <f aca="false">-Assumptions!$C$43*(1+Assumptions!$C$39)^(22-1)</f>
        <v>-0</v>
      </c>
      <c r="Z23" s="31" t="n">
        <f aca="false">-Assumptions!$C$43*(1+Assumptions!$C$39)^(23-1)</f>
        <v>-0</v>
      </c>
      <c r="AA23" s="31" t="n">
        <f aca="false">-Assumptions!$C$43*(1+Assumptions!$C$39)^(24-1)</f>
        <v>-0</v>
      </c>
      <c r="AB23" s="31" t="n">
        <f aca="false">-Assumptions!$C$43*(1+Assumptions!$C$39)^(25-1)</f>
        <v>-0</v>
      </c>
      <c r="AC23" s="31" t="n">
        <f aca="false">-Assumptions!$C$43*(1+Assumptions!$C$39)^(26-1)</f>
        <v>-0</v>
      </c>
      <c r="AD23" s="31" t="n">
        <f aca="false">-Assumptions!$C$43*(1+Assumptions!$C$39)^(27-1)</f>
        <v>-0</v>
      </c>
      <c r="AE23" s="31" t="n">
        <f aca="false">-Assumptions!$C$43*(1+Assumptions!$C$39)^(28-1)</f>
        <v>-0</v>
      </c>
      <c r="AF23" s="31" t="n">
        <f aca="false">-Assumptions!$C$43*(1+Assumptions!$C$39)^(29-1)</f>
        <v>-0</v>
      </c>
      <c r="AG23" s="31" t="n">
        <f aca="false">-Assumptions!$C$43*(1+Assumptions!$C$39)^(30-1)</f>
        <v>-0</v>
      </c>
    </row>
    <row r="24" customFormat="false" ht="15" hidden="false" customHeight="false" outlineLevel="0" collapsed="false">
      <c r="A24" s="35" t="s">
        <v>126</v>
      </c>
      <c r="B24" s="17" t="s">
        <v>205</v>
      </c>
      <c r="C24" s="31" t="n">
        <f aca="false">0</f>
        <v>0</v>
      </c>
      <c r="D24" s="31" t="n">
        <f aca="false">-D6*Assumptions!$C$44</f>
        <v>-0</v>
      </c>
      <c r="E24" s="31" t="n">
        <f aca="false">-E6*Assumptions!$C$44</f>
        <v>-0</v>
      </c>
      <c r="F24" s="31" t="n">
        <f aca="false">-F6*Assumptions!$C$44</f>
        <v>-0</v>
      </c>
      <c r="G24" s="31" t="n">
        <f aca="false">-G6*Assumptions!$C$44</f>
        <v>-0</v>
      </c>
      <c r="H24" s="31" t="n">
        <f aca="false">-H6*Assumptions!$C$44</f>
        <v>-0</v>
      </c>
      <c r="I24" s="31" t="n">
        <f aca="false">-I6*Assumptions!$C$44</f>
        <v>-0</v>
      </c>
      <c r="J24" s="31" t="n">
        <f aca="false">-J6*Assumptions!$C$44</f>
        <v>-0</v>
      </c>
      <c r="K24" s="31" t="n">
        <f aca="false">-K6*Assumptions!$C$44</f>
        <v>-0</v>
      </c>
      <c r="L24" s="31" t="n">
        <f aca="false">-L6*Assumptions!$C$44</f>
        <v>-0</v>
      </c>
      <c r="M24" s="31" t="n">
        <f aca="false">-M6*Assumptions!$C$44</f>
        <v>-0</v>
      </c>
      <c r="N24" s="31" t="n">
        <f aca="false">-N6*Assumptions!$C$44</f>
        <v>-0</v>
      </c>
      <c r="O24" s="31" t="n">
        <f aca="false">-O6*Assumptions!$C$44</f>
        <v>-0</v>
      </c>
      <c r="P24" s="31" t="n">
        <f aca="false">-P6*Assumptions!$C$44</f>
        <v>-0</v>
      </c>
      <c r="Q24" s="31" t="n">
        <f aca="false">-Q6*Assumptions!$C$44</f>
        <v>-0</v>
      </c>
      <c r="R24" s="31" t="n">
        <f aca="false">-R6*Assumptions!$C$44</f>
        <v>-0</v>
      </c>
      <c r="S24" s="31" t="n">
        <f aca="false">-S6*Assumptions!$C$44</f>
        <v>-0</v>
      </c>
      <c r="T24" s="31" t="n">
        <f aca="false">-T6*Assumptions!$C$44</f>
        <v>-0</v>
      </c>
      <c r="U24" s="31" t="n">
        <f aca="false">-U6*Assumptions!$C$44</f>
        <v>-0</v>
      </c>
      <c r="V24" s="31" t="n">
        <f aca="false">-V6*Assumptions!$C$44</f>
        <v>-0</v>
      </c>
      <c r="W24" s="31" t="n">
        <f aca="false">-W6*Assumptions!$C$44</f>
        <v>-0</v>
      </c>
      <c r="X24" s="31" t="n">
        <f aca="false">-X6*Assumptions!$C$44</f>
        <v>-0</v>
      </c>
      <c r="Y24" s="31" t="n">
        <f aca="false">-Y6*Assumptions!$C$44</f>
        <v>-0</v>
      </c>
      <c r="Z24" s="31" t="n">
        <f aca="false">-Z6*Assumptions!$C$44</f>
        <v>-0</v>
      </c>
      <c r="AA24" s="31" t="n">
        <f aca="false">-AA6*Assumptions!$C$44</f>
        <v>-0</v>
      </c>
      <c r="AB24" s="31" t="n">
        <f aca="false">-AB6*Assumptions!$C$44</f>
        <v>-0</v>
      </c>
      <c r="AC24" s="31" t="n">
        <f aca="false">-AC6*Assumptions!$C$44</f>
        <v>-0</v>
      </c>
      <c r="AD24" s="31" t="n">
        <f aca="false">-AD6*Assumptions!$C$44</f>
        <v>-0</v>
      </c>
      <c r="AE24" s="31" t="n">
        <f aca="false">-AE6*Assumptions!$C$44</f>
        <v>-0</v>
      </c>
      <c r="AF24" s="31" t="n">
        <f aca="false">-AF6*Assumptions!$C$44</f>
        <v>-0</v>
      </c>
      <c r="AG24" s="31" t="n">
        <f aca="false">-AG6*Assumptions!$C$44</f>
        <v>-0</v>
      </c>
    </row>
    <row r="25" customFormat="false" ht="15" hidden="false" customHeight="false" outlineLevel="0" collapsed="false">
      <c r="A25" s="35" t="s">
        <v>211</v>
      </c>
      <c r="B25" s="17" t="s">
        <v>205</v>
      </c>
      <c r="C25" s="31" t="n">
        <f aca="false">0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H25" s="31" t="n">
        <f aca="false">0</f>
        <v>0</v>
      </c>
      <c r="I25" s="31" t="n">
        <f aca="false">0</f>
        <v>0</v>
      </c>
      <c r="J25" s="31" t="n">
        <f aca="false">0</f>
        <v>0</v>
      </c>
      <c r="K25" s="31" t="n">
        <f aca="false">0</f>
        <v>0</v>
      </c>
      <c r="L25" s="31" t="n">
        <f aca="false">0</f>
        <v>0</v>
      </c>
      <c r="M25" s="31" t="n">
        <f aca="false">0</f>
        <v>0</v>
      </c>
      <c r="N25" s="31" t="n">
        <f aca="false">0</f>
        <v>0</v>
      </c>
      <c r="O25" s="31" t="n">
        <f aca="false">0</f>
        <v>0</v>
      </c>
      <c r="P25" s="31" t="n">
        <f aca="false">0</f>
        <v>0</v>
      </c>
      <c r="Q25" s="31" t="n">
        <f aca="false">0</f>
        <v>0</v>
      </c>
      <c r="R25" s="31" t="n">
        <f aca="false">0</f>
        <v>0</v>
      </c>
      <c r="S25" s="31" t="n">
        <f aca="false">0</f>
        <v>0</v>
      </c>
      <c r="T25" s="31" t="n">
        <f aca="false">0</f>
        <v>0</v>
      </c>
      <c r="U25" s="31" t="n">
        <f aca="false">0</f>
        <v>0</v>
      </c>
      <c r="V25" s="31" t="n">
        <f aca="false">0</f>
        <v>0</v>
      </c>
      <c r="W25" s="31" t="n">
        <f aca="false">0</f>
        <v>0</v>
      </c>
      <c r="X25" s="31" t="n">
        <f aca="false">0</f>
        <v>0</v>
      </c>
      <c r="Y25" s="31" t="n">
        <f aca="false">0</f>
        <v>0</v>
      </c>
      <c r="Z25" s="31" t="n">
        <f aca="false">0</f>
        <v>0</v>
      </c>
      <c r="AA25" s="31" t="n">
        <f aca="false">0</f>
        <v>0</v>
      </c>
      <c r="AB25" s="31" t="n">
        <f aca="false">0</f>
        <v>0</v>
      </c>
      <c r="AC25" s="31" t="n">
        <f aca="false">0</f>
        <v>0</v>
      </c>
      <c r="AD25" s="31" t="n">
        <f aca="false">0</f>
        <v>0</v>
      </c>
      <c r="AE25" s="31" t="n">
        <f aca="false">0</f>
        <v>0</v>
      </c>
      <c r="AF25" s="31" t="n">
        <f aca="false">0</f>
        <v>0</v>
      </c>
      <c r="AG25" s="31" t="n">
        <f aca="false">-Assumptions!$C$35*Assumptions!$C$5</f>
        <v>-75000</v>
      </c>
    </row>
    <row r="26" customFormat="false" ht="15" hidden="false" customHeight="false" outlineLevel="0" collapsed="false">
      <c r="A26" s="36" t="s">
        <v>212</v>
      </c>
      <c r="B26" s="17" t="s">
        <v>205</v>
      </c>
      <c r="C26" s="37" t="n">
        <f aca="false">SUM(C19:C25)</f>
        <v>0</v>
      </c>
      <c r="D26" s="37" t="n">
        <f aca="false">SUM(D19:D25)</f>
        <v>-91662.5</v>
      </c>
      <c r="E26" s="37" t="n">
        <f aca="false">SUM(E19:E25)</f>
        <v>-93212.5</v>
      </c>
      <c r="F26" s="37" t="n">
        <f aca="false">SUM(F19:F25)</f>
        <v>-94793.5</v>
      </c>
      <c r="G26" s="37" t="n">
        <f aca="false">SUM(G19:G25)</f>
        <v>-96406.12</v>
      </c>
      <c r="H26" s="37" t="n">
        <f aca="false">SUM(H19:H25)</f>
        <v>-98050.9924</v>
      </c>
      <c r="I26" s="37" t="n">
        <f aca="false">SUM(I19:I25)</f>
        <v>-99728.762248</v>
      </c>
      <c r="J26" s="37" t="n">
        <f aca="false">SUM(J19:J25)</f>
        <v>-101440.08749296</v>
      </c>
      <c r="K26" s="37" t="n">
        <f aca="false">SUM(K19:K25)</f>
        <v>-103185.639242819</v>
      </c>
      <c r="L26" s="37" t="n">
        <f aca="false">SUM(L19:L25)</f>
        <v>-104966.102027676</v>
      </c>
      <c r="M26" s="37" t="n">
        <f aca="false">SUM(M19:M25)</f>
        <v>-106782.174068229</v>
      </c>
      <c r="N26" s="37" t="n">
        <f aca="false">SUM(N19:N25)</f>
        <v>-108634.567549594</v>
      </c>
      <c r="O26" s="37" t="n">
        <f aca="false">SUM(O19:O25)</f>
        <v>-110524.008900586</v>
      </c>
      <c r="P26" s="37" t="n">
        <f aca="false">SUM(P19:P25)</f>
        <v>-112451.239078597</v>
      </c>
      <c r="Q26" s="37" t="n">
        <f aca="false">SUM(Q19:Q25)</f>
        <v>-114417.013860169</v>
      </c>
      <c r="R26" s="37" t="n">
        <f aca="false">SUM(R19:R25)</f>
        <v>-116422.104137373</v>
      </c>
      <c r="S26" s="37" t="n">
        <f aca="false">SUM(S19:S25)</f>
        <v>-118467.29622012</v>
      </c>
      <c r="T26" s="37" t="n">
        <f aca="false">SUM(T19:T25)</f>
        <v>-120553.392144522</v>
      </c>
      <c r="U26" s="37" t="n">
        <f aca="false">SUM(U19:U25)</f>
        <v>-122681.209987413</v>
      </c>
      <c r="V26" s="37" t="n">
        <f aca="false">SUM(V19:V25)</f>
        <v>-124851.584187161</v>
      </c>
      <c r="W26" s="37" t="n">
        <f aca="false">SUM(W19:W25)</f>
        <v>-127065.365870904</v>
      </c>
      <c r="X26" s="37" t="n">
        <f aca="false">SUM(X19:X25)</f>
        <v>-129323.423188323</v>
      </c>
      <c r="Y26" s="37" t="n">
        <f aca="false">SUM(Y19:Y25)</f>
        <v>-131626.641652089</v>
      </c>
      <c r="Z26" s="37" t="n">
        <f aca="false">SUM(Z19:Z25)</f>
        <v>-133975.924485131</v>
      </c>
      <c r="AA26" s="37" t="n">
        <f aca="false">SUM(AA19:AA25)</f>
        <v>-136372.192974833</v>
      </c>
      <c r="AB26" s="37" t="n">
        <f aca="false">SUM(AB19:AB25)</f>
        <v>-138816.38683433</v>
      </c>
      <c r="AC26" s="37" t="n">
        <f aca="false">SUM(AC19:AC25)</f>
        <v>-141309.464571017</v>
      </c>
      <c r="AD26" s="37" t="n">
        <f aca="false">SUM(AD19:AD25)</f>
        <v>-143852.403862437</v>
      </c>
      <c r="AE26" s="37" t="n">
        <f aca="false">SUM(AE19:AE25)</f>
        <v>-146446.201939686</v>
      </c>
      <c r="AF26" s="37" t="n">
        <f aca="false">SUM(AF19:AF25)</f>
        <v>-149091.875978479</v>
      </c>
      <c r="AG26" s="37" t="n">
        <f aca="false">SUM(AG19:AG25)</f>
        <v>-226790.463498049</v>
      </c>
    </row>
    <row r="28" customFormat="false" ht="15" hidden="false" customHeight="false" outlineLevel="0" collapsed="false">
      <c r="A28" s="36" t="s">
        <v>213</v>
      </c>
      <c r="B28" s="17" t="s">
        <v>205</v>
      </c>
      <c r="C28" s="38" t="n">
        <f aca="false">C16+C26</f>
        <v>0</v>
      </c>
      <c r="D28" s="38" t="n">
        <f aca="false">D16+D26</f>
        <v>319047.5</v>
      </c>
      <c r="E28" s="38" t="n">
        <f aca="false">E16+E26</f>
        <v>323617.079</v>
      </c>
      <c r="F28" s="38" t="n">
        <f aca="false">F16+F26</f>
        <v>328246.8397271</v>
      </c>
      <c r="G28" s="38" t="n">
        <f aca="false">G16+G26</f>
        <v>332937.520789034</v>
      </c>
      <c r="H28" s="38" t="n">
        <f aca="false">H16+H26</f>
        <v>337689.86863679</v>
      </c>
      <c r="I28" s="38" t="n">
        <f aca="false">I16+I26</f>
        <v>342504.637618239</v>
      </c>
      <c r="J28" s="38" t="n">
        <f aca="false">J16+J26</f>
        <v>347382.590031286</v>
      </c>
      <c r="K28" s="38" t="n">
        <f aca="false">K16+K26</f>
        <v>352324.496176538</v>
      </c>
      <c r="L28" s="38" t="n">
        <f aca="false">L16+L26</f>
        <v>357331.13440943</v>
      </c>
      <c r="M28" s="38" t="n">
        <f aca="false">M16+M26</f>
        <v>362403.291191789</v>
      </c>
      <c r="N28" s="38" t="n">
        <f aca="false">N16+N26</f>
        <v>367541.761142799</v>
      </c>
      <c r="O28" s="38" t="n">
        <f aca="false">O16+O26</f>
        <v>372747.347089323</v>
      </c>
      <c r="P28" s="38" t="n">
        <f aca="false">P16+P26</f>
        <v>378020.860115561</v>
      </c>
      <c r="Q28" s="38" t="n">
        <f aca="false">Q16+Q26</f>
        <v>383363.119611983</v>
      </c>
      <c r="R28" s="38" t="n">
        <f aca="false">R16+R26</f>
        <v>388774.953323514</v>
      </c>
      <c r="S28" s="38" t="n">
        <f aca="false">S16+S26</f>
        <v>165832.592722697</v>
      </c>
      <c r="T28" s="38" t="n">
        <f aca="false">T16+T26</f>
        <v>162324.997353581</v>
      </c>
      <c r="U28" s="38" t="n">
        <f aca="false">U16+U26</f>
        <v>158782.7875632</v>
      </c>
      <c r="V28" s="38" t="n">
        <f aca="false">V16+V26</f>
        <v>155205.093375699</v>
      </c>
      <c r="W28" s="38" t="n">
        <f aca="false">W16+W26</f>
        <v>151591.028304141</v>
      </c>
      <c r="X28" s="38" t="n">
        <f aca="false">X16+X26</f>
        <v>147939.689015848</v>
      </c>
      <c r="Y28" s="38" t="n">
        <f aca="false">Y16+Y26</f>
        <v>144250.15499106</v>
      </c>
      <c r="Z28" s="38" t="n">
        <f aca="false">Z16+Z26</f>
        <v>140521.488174803</v>
      </c>
      <c r="AA28" s="38" t="n">
        <f aca="false">AA16+AA26</f>
        <v>136752.732621801</v>
      </c>
      <c r="AB28" s="38" t="n">
        <f aca="false">AB16+AB26</f>
        <v>132942.914134321</v>
      </c>
      <c r="AC28" s="38" t="n">
        <f aca="false">AC16+AC26</f>
        <v>129091.039892791</v>
      </c>
      <c r="AD28" s="38" t="n">
        <f aca="false">AD16+AD26</f>
        <v>125196.098079052</v>
      </c>
      <c r="AE28" s="38" t="n">
        <f aca="false">AE16+AE26</f>
        <v>121257.057492095</v>
      </c>
      <c r="AF28" s="38" t="n">
        <f aca="false">AF16+AF26</f>
        <v>117272.867156143</v>
      </c>
      <c r="AG28" s="38" t="n">
        <f aca="false">AG16+AG26</f>
        <v>38242.4559209001</v>
      </c>
    </row>
    <row r="30" customFormat="false" ht="19.5" hidden="false" customHeight="true" outlineLevel="0" collapsed="false">
      <c r="A30" s="15" t="s">
        <v>214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customFormat="false" ht="15" hidden="false" customHeight="false" outlineLevel="0" collapsed="false">
      <c r="A31" s="35" t="s">
        <v>215</v>
      </c>
      <c r="B31" s="17" t="s">
        <v>205</v>
      </c>
      <c r="C31" s="31" t="n">
        <f aca="false">0</f>
        <v>0</v>
      </c>
      <c r="D31" s="31" t="n">
        <f aca="false">IF(1&lt;=Assumptions!$C$54,-Assumptions!$C$64/Assumptions!$C$54,0)</f>
        <v>-113300</v>
      </c>
      <c r="E31" s="31" t="n">
        <f aca="false">IF(2&lt;=Assumptions!$C$54,-Assumptions!$C$64/Assumptions!$C$54,0)</f>
        <v>-113300</v>
      </c>
      <c r="F31" s="31" t="n">
        <f aca="false">IF(3&lt;=Assumptions!$C$54,-Assumptions!$C$64/Assumptions!$C$54,0)</f>
        <v>-113300</v>
      </c>
      <c r="G31" s="31" t="n">
        <f aca="false">IF(4&lt;=Assumptions!$C$54,-Assumptions!$C$64/Assumptions!$C$54,0)</f>
        <v>-113300</v>
      </c>
      <c r="H31" s="31" t="n">
        <f aca="false">IF(5&lt;=Assumptions!$C$54,-Assumptions!$C$64/Assumptions!$C$54,0)</f>
        <v>-113300</v>
      </c>
      <c r="I31" s="31" t="n">
        <f aca="false">IF(6&lt;=Assumptions!$C$54,-Assumptions!$C$64/Assumptions!$C$54,0)</f>
        <v>-113300</v>
      </c>
      <c r="J31" s="31" t="n">
        <f aca="false">IF(7&lt;=Assumptions!$C$54,-Assumptions!$C$64/Assumptions!$C$54,0)</f>
        <v>-113300</v>
      </c>
      <c r="K31" s="31" t="n">
        <f aca="false">IF(8&lt;=Assumptions!$C$54,-Assumptions!$C$64/Assumptions!$C$54,0)</f>
        <v>-113300</v>
      </c>
      <c r="L31" s="31" t="n">
        <f aca="false">IF(9&lt;=Assumptions!$C$54,-Assumptions!$C$64/Assumptions!$C$54,0)</f>
        <v>-113300</v>
      </c>
      <c r="M31" s="31" t="n">
        <f aca="false">IF(10&lt;=Assumptions!$C$54,-Assumptions!$C$64/Assumptions!$C$54,0)</f>
        <v>-113300</v>
      </c>
      <c r="N31" s="31" t="n">
        <f aca="false">IF(11&lt;=Assumptions!$C$54,-Assumptions!$C$64/Assumptions!$C$54,0)</f>
        <v>-113300</v>
      </c>
      <c r="O31" s="31" t="n">
        <f aca="false">IF(12&lt;=Assumptions!$C$54,-Assumptions!$C$64/Assumptions!$C$54,0)</f>
        <v>-113300</v>
      </c>
      <c r="P31" s="31" t="n">
        <f aca="false">IF(13&lt;=Assumptions!$C$54,-Assumptions!$C$64/Assumptions!$C$54,0)</f>
        <v>-113300</v>
      </c>
      <c r="Q31" s="31" t="n">
        <f aca="false">IF(14&lt;=Assumptions!$C$54,-Assumptions!$C$64/Assumptions!$C$54,0)</f>
        <v>-113300</v>
      </c>
      <c r="R31" s="31" t="n">
        <f aca="false">IF(15&lt;=Assumptions!$C$54,-Assumptions!$C$64/Assumptions!$C$54,0)</f>
        <v>-113300</v>
      </c>
      <c r="S31" s="31" t="n">
        <f aca="false">IF(16&lt;=Assumptions!$C$54,-Assumptions!$C$64/Assumptions!$C$54,0)</f>
        <v>-113300</v>
      </c>
      <c r="T31" s="31" t="n">
        <f aca="false">IF(17&lt;=Assumptions!$C$54,-Assumptions!$C$64/Assumptions!$C$54,0)</f>
        <v>-113300</v>
      </c>
      <c r="U31" s="31" t="n">
        <f aca="false">IF(18&lt;=Assumptions!$C$54,-Assumptions!$C$64/Assumptions!$C$54,0)</f>
        <v>-113300</v>
      </c>
      <c r="V31" s="31" t="n">
        <f aca="false">IF(19&lt;=Assumptions!$C$54,-Assumptions!$C$64/Assumptions!$C$54,0)</f>
        <v>-113300</v>
      </c>
      <c r="W31" s="31" t="n">
        <f aca="false">IF(20&lt;=Assumptions!$C$54,-Assumptions!$C$64/Assumptions!$C$54,0)</f>
        <v>-113300</v>
      </c>
      <c r="X31" s="31" t="n">
        <f aca="false">IF(21&lt;=Assumptions!$C$54,-Assumptions!$C$64/Assumptions!$C$54,0)</f>
        <v>-113300</v>
      </c>
      <c r="Y31" s="31" t="n">
        <f aca="false">IF(22&lt;=Assumptions!$C$54,-Assumptions!$C$64/Assumptions!$C$54,0)</f>
        <v>-113300</v>
      </c>
      <c r="Z31" s="31" t="n">
        <f aca="false">IF(23&lt;=Assumptions!$C$54,-Assumptions!$C$64/Assumptions!$C$54,0)</f>
        <v>-113300</v>
      </c>
      <c r="AA31" s="31" t="n">
        <f aca="false">IF(24&lt;=Assumptions!$C$54,-Assumptions!$C$64/Assumptions!$C$54,0)</f>
        <v>-113300</v>
      </c>
      <c r="AB31" s="31" t="n">
        <f aca="false">IF(25&lt;=Assumptions!$C$54,-Assumptions!$C$64/Assumptions!$C$54,0)</f>
        <v>-113300</v>
      </c>
      <c r="AC31" s="31" t="n">
        <f aca="false">IF(26&lt;=Assumptions!$C$54,-Assumptions!$C$64/Assumptions!$C$54,0)</f>
        <v>0</v>
      </c>
      <c r="AD31" s="31" t="n">
        <f aca="false">IF(27&lt;=Assumptions!$C$54,-Assumptions!$C$64/Assumptions!$C$54,0)</f>
        <v>0</v>
      </c>
      <c r="AE31" s="31" t="n">
        <f aca="false">IF(28&lt;=Assumptions!$C$54,-Assumptions!$C$64/Assumptions!$C$54,0)</f>
        <v>0</v>
      </c>
      <c r="AF31" s="31" t="n">
        <f aca="false">IF(29&lt;=Assumptions!$C$54,-Assumptions!$C$64/Assumptions!$C$54,0)</f>
        <v>0</v>
      </c>
      <c r="AG31" s="31" t="n">
        <f aca="false">IF(30&lt;=Assumptions!$C$54,-Assumptions!$C$64/Assumptions!$C$54,0)</f>
        <v>0</v>
      </c>
    </row>
    <row r="32" customFormat="false" ht="15" hidden="false" customHeight="false" outlineLevel="0" collapsed="false">
      <c r="A32" s="35" t="s">
        <v>216</v>
      </c>
      <c r="B32" s="17" t="s">
        <v>205</v>
      </c>
      <c r="C32" s="31" t="n">
        <f aca="false">0</f>
        <v>0</v>
      </c>
      <c r="D32" s="31" t="n">
        <f aca="false">Assumptions!$C$66</f>
        <v>1699500</v>
      </c>
      <c r="E32" s="31" t="n">
        <f aca="false">D35</f>
        <v>1641853.10227186</v>
      </c>
      <c r="F32" s="31" t="n">
        <f aca="false">E35</f>
        <v>1581035.62516868</v>
      </c>
      <c r="G32" s="31" t="n">
        <f aca="false">F35</f>
        <v>1516873.18682482</v>
      </c>
      <c r="H32" s="31" t="n">
        <f aca="false">G35</f>
        <v>1449181.81437205</v>
      </c>
      <c r="I32" s="31" t="n">
        <f aca="false">H35</f>
        <v>1377767.41643437</v>
      </c>
      <c r="J32" s="31" t="n">
        <f aca="false">I35</f>
        <v>1302425.22661013</v>
      </c>
      <c r="K32" s="31" t="n">
        <f aca="false">J35</f>
        <v>1222939.21634555</v>
      </c>
      <c r="L32" s="31" t="n">
        <f aca="false">K35</f>
        <v>1139081.47551641</v>
      </c>
      <c r="M32" s="31" t="n">
        <f aca="false">L35</f>
        <v>1050611.55894168</v>
      </c>
      <c r="N32" s="31" t="n">
        <f aca="false">M35</f>
        <v>957275.796955335</v>
      </c>
      <c r="O32" s="31" t="n">
        <f aca="false">N35</f>
        <v>858806.568059742</v>
      </c>
      <c r="P32" s="31" t="n">
        <f aca="false">O35</f>
        <v>754921.531574891</v>
      </c>
      <c r="Q32" s="31" t="n">
        <f aca="false">P35</f>
        <v>645322.818083372</v>
      </c>
      <c r="R32" s="31" t="n">
        <f aca="false">Q35</f>
        <v>529696.175349821</v>
      </c>
      <c r="S32" s="31" t="n">
        <f aca="false">R35</f>
        <v>407710.067265924</v>
      </c>
      <c r="T32" s="31" t="n">
        <f aca="false">S35</f>
        <v>279014.723237413</v>
      </c>
      <c r="U32" s="31" t="n">
        <f aca="false">T35</f>
        <v>143241.135287334</v>
      </c>
      <c r="V32" s="31" t="n">
        <f aca="false">U35</f>
        <v>0</v>
      </c>
      <c r="W32" s="31" t="n">
        <f aca="false">V35</f>
        <v>0</v>
      </c>
      <c r="X32" s="31" t="n">
        <f aca="false">W35</f>
        <v>0</v>
      </c>
      <c r="Y32" s="31" t="n">
        <f aca="false">X35</f>
        <v>0</v>
      </c>
      <c r="Z32" s="31" t="n">
        <f aca="false">Y35</f>
        <v>0</v>
      </c>
      <c r="AA32" s="31" t="n">
        <f aca="false">Z35</f>
        <v>0</v>
      </c>
      <c r="AB32" s="31" t="n">
        <f aca="false">AA35</f>
        <v>0</v>
      </c>
      <c r="AC32" s="31" t="n">
        <f aca="false">AB35</f>
        <v>0</v>
      </c>
      <c r="AD32" s="31" t="n">
        <f aca="false">AC35</f>
        <v>0</v>
      </c>
      <c r="AE32" s="31" t="n">
        <f aca="false">AD35</f>
        <v>0</v>
      </c>
      <c r="AF32" s="31" t="n">
        <f aca="false">AE35</f>
        <v>0</v>
      </c>
      <c r="AG32" s="31" t="n">
        <f aca="false">AF35</f>
        <v>0</v>
      </c>
    </row>
    <row r="33" customFormat="false" ht="15" hidden="false" customHeight="false" outlineLevel="0" collapsed="false">
      <c r="A33" s="35" t="s">
        <v>217</v>
      </c>
      <c r="B33" s="17" t="s">
        <v>205</v>
      </c>
      <c r="C33" s="31" t="n">
        <f aca="false">0</f>
        <v>0</v>
      </c>
      <c r="D33" s="31" t="n">
        <f aca="false">-D32*Assumptions!$C$48</f>
        <v>-93472.5</v>
      </c>
      <c r="E33" s="31" t="n">
        <f aca="false">-E32*Assumptions!$C$48</f>
        <v>-90301.9206249525</v>
      </c>
      <c r="F33" s="31" t="n">
        <f aca="false">-F32*Assumptions!$C$48</f>
        <v>-86956.9593842773</v>
      </c>
      <c r="G33" s="31" t="n">
        <f aca="false">-G32*Assumptions!$C$48</f>
        <v>-83428.0252753651</v>
      </c>
      <c r="H33" s="31" t="n">
        <f aca="false">-H32*Assumptions!$C$48</f>
        <v>-79704.9997904626</v>
      </c>
      <c r="I33" s="31" t="n">
        <f aca="false">-I32*Assumptions!$C$48</f>
        <v>-75777.2079038905</v>
      </c>
      <c r="J33" s="31" t="n">
        <f aca="false">-J32*Assumptions!$C$48</f>
        <v>-71633.3874635569</v>
      </c>
      <c r="K33" s="31" t="n">
        <f aca="false">-K32*Assumptions!$C$48</f>
        <v>-67261.656899005</v>
      </c>
      <c r="L33" s="31" t="n">
        <f aca="false">-L32*Assumptions!$C$48</f>
        <v>-62649.4811534028</v>
      </c>
      <c r="M33" s="31" t="n">
        <f aca="false">-M32*Assumptions!$C$48</f>
        <v>-57783.6357417924</v>
      </c>
      <c r="N33" s="31" t="n">
        <f aca="false">-N32*Assumptions!$C$48</f>
        <v>-52650.1688325434</v>
      </c>
      <c r="O33" s="31" t="n">
        <f aca="false">-O32*Assumptions!$C$48</f>
        <v>-47234.3612432858</v>
      </c>
      <c r="P33" s="31" t="n">
        <f aca="false">-P32*Assumptions!$C$48</f>
        <v>-41520.684236619</v>
      </c>
      <c r="Q33" s="31" t="n">
        <f aca="false">-Q32*Assumptions!$C$48</f>
        <v>-35492.7549945855</v>
      </c>
      <c r="R33" s="31" t="n">
        <f aca="false">-R32*Assumptions!$C$48</f>
        <v>-29133.2896442401</v>
      </c>
      <c r="S33" s="31" t="n">
        <f aca="false">-S32*Assumptions!$C$48</f>
        <v>-22424.0536996258</v>
      </c>
      <c r="T33" s="31" t="n">
        <f aca="false">-T32*Assumptions!$C$48</f>
        <v>-15345.8097780577</v>
      </c>
      <c r="U33" s="31" t="n">
        <f aca="false">-U32*Assumptions!$C$48</f>
        <v>-7878.26244080334</v>
      </c>
      <c r="V33" s="31" t="n">
        <f aca="false">-V32*Assumptions!$C$48</f>
        <v>-0</v>
      </c>
      <c r="W33" s="31" t="n">
        <f aca="false">-W32*Assumptions!$C$48</f>
        <v>-0</v>
      </c>
      <c r="X33" s="31" t="n">
        <f aca="false">-X32*Assumptions!$C$48</f>
        <v>-0</v>
      </c>
      <c r="Y33" s="31" t="n">
        <f aca="false">-Y32*Assumptions!$C$48</f>
        <v>-0</v>
      </c>
      <c r="Z33" s="31" t="n">
        <f aca="false">-Z32*Assumptions!$C$48</f>
        <v>-0</v>
      </c>
      <c r="AA33" s="31" t="n">
        <f aca="false">-AA32*Assumptions!$C$48</f>
        <v>-0</v>
      </c>
      <c r="AB33" s="31" t="n">
        <f aca="false">-AB32*Assumptions!$C$48</f>
        <v>-0</v>
      </c>
      <c r="AC33" s="31" t="n">
        <f aca="false">-AC32*Assumptions!$C$48</f>
        <v>-0</v>
      </c>
      <c r="AD33" s="31" t="n">
        <f aca="false">-AD32*Assumptions!$C$48</f>
        <v>-0</v>
      </c>
      <c r="AE33" s="31" t="n">
        <f aca="false">-AE32*Assumptions!$C$48</f>
        <v>-0</v>
      </c>
      <c r="AF33" s="31" t="n">
        <f aca="false">-AF32*Assumptions!$C$48</f>
        <v>-0</v>
      </c>
      <c r="AG33" s="31" t="n">
        <f aca="false">-AG32*Assumptions!$C$48</f>
        <v>-0</v>
      </c>
    </row>
    <row r="34" customFormat="false" ht="15" hidden="false" customHeight="false" outlineLevel="0" collapsed="false">
      <c r="A34" s="35" t="s">
        <v>218</v>
      </c>
      <c r="B34" s="17" t="s">
        <v>205</v>
      </c>
      <c r="C34" s="31" t="n">
        <f aca="false">0</f>
        <v>0</v>
      </c>
      <c r="D34" s="31" t="n">
        <f aca="false">IF(AND(1&lt;=Assumptions!$C$49,D32&gt;0),-(PMT(Assumptions!$C$48,Assumptions!$C$49,-Assumptions!$C$66)-(-D33)),0)</f>
        <v>-57646.897728137</v>
      </c>
      <c r="E34" s="31" t="n">
        <f aca="false">IF(AND(2&lt;=Assumptions!$C$49,E32&gt;0),-(PMT(Assumptions!$C$48,Assumptions!$C$49,-Assumptions!$C$66)-(-E33)),0)</f>
        <v>-60817.4771031845</v>
      </c>
      <c r="F34" s="31" t="n">
        <f aca="false">IF(AND(3&lt;=Assumptions!$C$49,F32&gt;0),-(PMT(Assumptions!$C$48,Assumptions!$C$49,-Assumptions!$C$66)-(-F33)),0)</f>
        <v>-64162.4383438597</v>
      </c>
      <c r="G34" s="31" t="n">
        <f aca="false">IF(AND(4&lt;=Assumptions!$C$49,G32&gt;0),-(PMT(Assumptions!$C$48,Assumptions!$C$49,-Assumptions!$C$66)-(-G33)),0)</f>
        <v>-67691.372452772</v>
      </c>
      <c r="H34" s="31" t="n">
        <f aca="false">IF(AND(5&lt;=Assumptions!$C$49,H32&gt;0),-(PMT(Assumptions!$C$48,Assumptions!$C$49,-Assumptions!$C$66)-(-H33)),0)</f>
        <v>-71414.3979376744</v>
      </c>
      <c r="I34" s="31" t="n">
        <f aca="false">IF(AND(6&lt;=Assumptions!$C$49,I32&gt;0),-(PMT(Assumptions!$C$48,Assumptions!$C$49,-Assumptions!$C$66)-(-I33)),0)</f>
        <v>-75342.1898242465</v>
      </c>
      <c r="J34" s="31" t="n">
        <f aca="false">IF(AND(7&lt;=Assumptions!$C$49,J32&gt;0),-(PMT(Assumptions!$C$48,Assumptions!$C$49,-Assumptions!$C$66)-(-J33)),0)</f>
        <v>-79486.0102645801</v>
      </c>
      <c r="K34" s="31" t="n">
        <f aca="false">IF(AND(8&lt;=Assumptions!$C$49,K32&gt;0),-(PMT(Assumptions!$C$48,Assumptions!$C$49,-Assumptions!$C$66)-(-K33)),0)</f>
        <v>-83857.740829132</v>
      </c>
      <c r="L34" s="31" t="n">
        <f aca="false">IF(AND(9&lt;=Assumptions!$C$49,L32&gt;0),-(PMT(Assumptions!$C$48,Assumptions!$C$49,-Assumptions!$C$66)-(-L33)),0)</f>
        <v>-88469.9165747342</v>
      </c>
      <c r="M34" s="31" t="n">
        <f aca="false">IF(AND(10&lt;=Assumptions!$C$49,M32&gt;0),-(PMT(Assumptions!$C$48,Assumptions!$C$49,-Assumptions!$C$66)-(-M33)),0)</f>
        <v>-93335.7619863446</v>
      </c>
      <c r="N34" s="31" t="n">
        <f aca="false">IF(AND(11&lt;=Assumptions!$C$49,N32&gt;0),-(PMT(Assumptions!$C$48,Assumptions!$C$49,-Assumptions!$C$66)-(-N33)),0)</f>
        <v>-98469.2288955936</v>
      </c>
      <c r="O34" s="31" t="n">
        <f aca="false">IF(AND(12&lt;=Assumptions!$C$49,O32&gt;0),-(PMT(Assumptions!$C$48,Assumptions!$C$49,-Assumptions!$C$66)-(-O33)),0)</f>
        <v>-103885.036484851</v>
      </c>
      <c r="P34" s="31" t="n">
        <f aca="false">IF(AND(13&lt;=Assumptions!$C$49,P32&gt;0),-(PMT(Assumptions!$C$48,Assumptions!$C$49,-Assumptions!$C$66)-(-P33)),0)</f>
        <v>-109598.713491518</v>
      </c>
      <c r="Q34" s="31" t="n">
        <f aca="false">IF(AND(14&lt;=Assumptions!$C$49,Q32&gt;0),-(PMT(Assumptions!$C$48,Assumptions!$C$49,-Assumptions!$C$66)-(-Q33)),0)</f>
        <v>-115626.642733552</v>
      </c>
      <c r="R34" s="31" t="n">
        <f aca="false">IF(AND(15&lt;=Assumptions!$C$49,R32&gt;0),-(PMT(Assumptions!$C$48,Assumptions!$C$49,-Assumptions!$C$66)-(-R33)),0)</f>
        <v>-121986.108083897</v>
      </c>
      <c r="S34" s="31" t="n">
        <f aca="false">IF(AND(16&lt;=Assumptions!$C$49,S32&gt;0),-(PMT(Assumptions!$C$48,Assumptions!$C$49,-Assumptions!$C$66)-(-S33)),0)</f>
        <v>-128695.344028511</v>
      </c>
      <c r="T34" s="31" t="n">
        <f aca="false">IF(AND(17&lt;=Assumptions!$C$49,T32&gt;0),-(PMT(Assumptions!$C$48,Assumptions!$C$49,-Assumptions!$C$66)-(-T33)),0)</f>
        <v>-135773.587950079</v>
      </c>
      <c r="U34" s="31" t="n">
        <f aca="false">IF(AND(18&lt;=Assumptions!$C$49,U32&gt;0),-(PMT(Assumptions!$C$48,Assumptions!$C$49,-Assumptions!$C$66)-(-U33)),0)</f>
        <v>-143241.135287334</v>
      </c>
      <c r="V34" s="31" t="n">
        <f aca="false">IF(AND(19&lt;=Assumptions!$C$49,V32&gt;0),-(PMT(Assumptions!$C$48,Assumptions!$C$49,-Assumptions!$C$66)-(-V33)),0)</f>
        <v>0</v>
      </c>
      <c r="W34" s="31" t="n">
        <f aca="false">IF(AND(20&lt;=Assumptions!$C$49,W32&gt;0),-(PMT(Assumptions!$C$48,Assumptions!$C$49,-Assumptions!$C$66)-(-W33)),0)</f>
        <v>0</v>
      </c>
      <c r="X34" s="31" t="n">
        <f aca="false">IF(AND(21&lt;=Assumptions!$C$49,X32&gt;0),-(PMT(Assumptions!$C$48,Assumptions!$C$49,-Assumptions!$C$66)-(-X33)),0)</f>
        <v>0</v>
      </c>
      <c r="Y34" s="31" t="n">
        <f aca="false">IF(AND(22&lt;=Assumptions!$C$49,Y32&gt;0),-(PMT(Assumptions!$C$48,Assumptions!$C$49,-Assumptions!$C$66)-(-Y33)),0)</f>
        <v>0</v>
      </c>
      <c r="Z34" s="31" t="n">
        <f aca="false">IF(AND(23&lt;=Assumptions!$C$49,Z32&gt;0),-(PMT(Assumptions!$C$48,Assumptions!$C$49,-Assumptions!$C$66)-(-Z33)),0)</f>
        <v>0</v>
      </c>
      <c r="AA34" s="31" t="n">
        <f aca="false">IF(AND(24&lt;=Assumptions!$C$49,AA32&gt;0),-(PMT(Assumptions!$C$48,Assumptions!$C$49,-Assumptions!$C$66)-(-AA33)),0)</f>
        <v>0</v>
      </c>
      <c r="AB34" s="31" t="n">
        <f aca="false">IF(AND(25&lt;=Assumptions!$C$49,AB32&gt;0),-(PMT(Assumptions!$C$48,Assumptions!$C$49,-Assumptions!$C$66)-(-AB33)),0)</f>
        <v>0</v>
      </c>
      <c r="AC34" s="31" t="n">
        <f aca="false">IF(AND(26&lt;=Assumptions!$C$49,AC32&gt;0),-(PMT(Assumptions!$C$48,Assumptions!$C$49,-Assumptions!$C$66)-(-AC33)),0)</f>
        <v>0</v>
      </c>
      <c r="AD34" s="31" t="n">
        <f aca="false">IF(AND(27&lt;=Assumptions!$C$49,AD32&gt;0),-(PMT(Assumptions!$C$48,Assumptions!$C$49,-Assumptions!$C$66)-(-AD33)),0)</f>
        <v>0</v>
      </c>
      <c r="AE34" s="31" t="n">
        <f aca="false">IF(AND(28&lt;=Assumptions!$C$49,AE32&gt;0),-(PMT(Assumptions!$C$48,Assumptions!$C$49,-Assumptions!$C$66)-(-AE33)),0)</f>
        <v>0</v>
      </c>
      <c r="AF34" s="31" t="n">
        <f aca="false">IF(AND(29&lt;=Assumptions!$C$49,AF32&gt;0),-(PMT(Assumptions!$C$48,Assumptions!$C$49,-Assumptions!$C$66)-(-AF33)),0)</f>
        <v>0</v>
      </c>
      <c r="AG34" s="31" t="n">
        <f aca="false">IF(AND(30&lt;=Assumptions!$C$49,AG32&gt;0),-(PMT(Assumptions!$C$48,Assumptions!$C$49,-Assumptions!$C$66)-(-AG33)),0)</f>
        <v>0</v>
      </c>
    </row>
    <row r="35" customFormat="false" ht="15" hidden="false" customHeight="false" outlineLevel="0" collapsed="false">
      <c r="A35" s="35" t="s">
        <v>219</v>
      </c>
      <c r="B35" s="17" t="s">
        <v>205</v>
      </c>
      <c r="C35" s="31" t="n">
        <f aca="false">0</f>
        <v>0</v>
      </c>
      <c r="D35" s="31" t="n">
        <f aca="false">D32+D34</f>
        <v>1641853.10227186</v>
      </c>
      <c r="E35" s="31" t="n">
        <f aca="false">E32+E34</f>
        <v>1581035.62516868</v>
      </c>
      <c r="F35" s="31" t="n">
        <f aca="false">F32+F34</f>
        <v>1516873.18682482</v>
      </c>
      <c r="G35" s="31" t="n">
        <f aca="false">G32+G34</f>
        <v>1449181.81437205</v>
      </c>
      <c r="H35" s="31" t="n">
        <f aca="false">H32+H34</f>
        <v>1377767.41643437</v>
      </c>
      <c r="I35" s="31" t="n">
        <f aca="false">I32+I34</f>
        <v>1302425.22661013</v>
      </c>
      <c r="J35" s="31" t="n">
        <f aca="false">J32+J34</f>
        <v>1222939.21634555</v>
      </c>
      <c r="K35" s="31" t="n">
        <f aca="false">K32+K34</f>
        <v>1139081.47551641</v>
      </c>
      <c r="L35" s="31" t="n">
        <f aca="false">L32+L34</f>
        <v>1050611.55894168</v>
      </c>
      <c r="M35" s="31" t="n">
        <f aca="false">M32+M34</f>
        <v>957275.796955335</v>
      </c>
      <c r="N35" s="31" t="n">
        <f aca="false">N32+N34</f>
        <v>858806.568059742</v>
      </c>
      <c r="O35" s="31" t="n">
        <f aca="false">O32+O34</f>
        <v>754921.531574891</v>
      </c>
      <c r="P35" s="31" t="n">
        <f aca="false">P32+P34</f>
        <v>645322.818083372</v>
      </c>
      <c r="Q35" s="31" t="n">
        <f aca="false">Q32+Q34</f>
        <v>529696.175349821</v>
      </c>
      <c r="R35" s="31" t="n">
        <f aca="false">R32+R34</f>
        <v>407710.067265924</v>
      </c>
      <c r="S35" s="31" t="n">
        <f aca="false">S32+S34</f>
        <v>279014.723237413</v>
      </c>
      <c r="T35" s="31" t="n">
        <f aca="false">T32+T34</f>
        <v>143241.135287334</v>
      </c>
      <c r="U35" s="31" t="n">
        <f aca="false">U32+U34</f>
        <v>0</v>
      </c>
      <c r="V35" s="31" t="n">
        <f aca="false">V32+V34</f>
        <v>0</v>
      </c>
      <c r="W35" s="31" t="n">
        <f aca="false">W32+W34</f>
        <v>0</v>
      </c>
      <c r="X35" s="31" t="n">
        <f aca="false">X32+X34</f>
        <v>0</v>
      </c>
      <c r="Y35" s="31" t="n">
        <f aca="false">Y32+Y34</f>
        <v>0</v>
      </c>
      <c r="Z35" s="31" t="n">
        <f aca="false">Z32+Z34</f>
        <v>0</v>
      </c>
      <c r="AA35" s="31" t="n">
        <f aca="false">AA32+AA34</f>
        <v>0</v>
      </c>
      <c r="AB35" s="31" t="n">
        <f aca="false">AB32+AB34</f>
        <v>0</v>
      </c>
      <c r="AC35" s="31" t="n">
        <f aca="false">AC32+AC34</f>
        <v>0</v>
      </c>
      <c r="AD35" s="31" t="n">
        <f aca="false">AD32+AD34</f>
        <v>0</v>
      </c>
      <c r="AE35" s="31" t="n">
        <f aca="false">AE32+AE34</f>
        <v>0</v>
      </c>
      <c r="AF35" s="31" t="n">
        <f aca="false">AF32+AF34</f>
        <v>0</v>
      </c>
      <c r="AG35" s="31" t="n">
        <f aca="false">AG32+AG34</f>
        <v>0</v>
      </c>
    </row>
    <row r="37" customFormat="false" ht="15" hidden="false" customHeight="false" outlineLevel="0" collapsed="false">
      <c r="A37" s="35" t="s">
        <v>220</v>
      </c>
      <c r="B37" s="17" t="s">
        <v>205</v>
      </c>
      <c r="C37" s="31" t="n">
        <f aca="false">0</f>
        <v>0</v>
      </c>
      <c r="D37" s="31" t="n">
        <f aca="false">D28+D31+D33</f>
        <v>112275</v>
      </c>
      <c r="E37" s="31" t="n">
        <f aca="false">E28+E31+E33</f>
        <v>120015.158375048</v>
      </c>
      <c r="F37" s="31" t="n">
        <f aca="false">F28+F31+F33</f>
        <v>127989.880342823</v>
      </c>
      <c r="G37" s="31" t="n">
        <f aca="false">G28+G31+G33</f>
        <v>136209.495513669</v>
      </c>
      <c r="H37" s="31" t="n">
        <f aca="false">H28+H31+H33</f>
        <v>144684.868846328</v>
      </c>
      <c r="I37" s="31" t="n">
        <f aca="false">I28+I31+I33</f>
        <v>153427.429714348</v>
      </c>
      <c r="J37" s="31" t="n">
        <f aca="false">J28+J31+J33</f>
        <v>162449.202567729</v>
      </c>
      <c r="K37" s="31" t="n">
        <f aca="false">K28+K31+K33</f>
        <v>171762.839277533</v>
      </c>
      <c r="L37" s="31" t="n">
        <f aca="false">L28+L31+L33</f>
        <v>181381.653256027</v>
      </c>
      <c r="M37" s="31" t="n">
        <f aca="false">M28+M31+M33</f>
        <v>191319.655449997</v>
      </c>
      <c r="N37" s="31" t="n">
        <f aca="false">N28+N31+N33</f>
        <v>201591.592310255</v>
      </c>
      <c r="O37" s="31" t="n">
        <f aca="false">O28+O31+O33</f>
        <v>212212.985846038</v>
      </c>
      <c r="P37" s="31" t="n">
        <f aca="false">P28+P31+P33</f>
        <v>223200.175878942</v>
      </c>
      <c r="Q37" s="31" t="n">
        <f aca="false">Q28+Q31+Q33</f>
        <v>234570.364617397</v>
      </c>
      <c r="R37" s="31" t="n">
        <f aca="false">R28+R31+R33</f>
        <v>246341.663679274</v>
      </c>
      <c r="S37" s="31" t="n">
        <f aca="false">S28+S31+S33</f>
        <v>30108.5390230716</v>
      </c>
      <c r="T37" s="31" t="n">
        <f aca="false">T28+T31+T33</f>
        <v>33679.1875755232</v>
      </c>
      <c r="U37" s="31" t="n">
        <f aca="false">U28+U31+U33</f>
        <v>37604.5251223966</v>
      </c>
      <c r="V37" s="31" t="n">
        <f aca="false">V28+V31+V33</f>
        <v>41905.0933756986</v>
      </c>
      <c r="W37" s="31" t="n">
        <f aca="false">W28+W31+W33</f>
        <v>38291.0283041411</v>
      </c>
      <c r="X37" s="31" t="n">
        <f aca="false">X28+X31+X33</f>
        <v>34639.6890158477</v>
      </c>
      <c r="Y37" s="31" t="n">
        <f aca="false">Y28+Y31+Y33</f>
        <v>30950.1549910604</v>
      </c>
      <c r="Z37" s="31" t="n">
        <f aca="false">Z28+Z31+Z33</f>
        <v>27221.488174803</v>
      </c>
      <c r="AA37" s="31" t="n">
        <f aca="false">AA28+AA31+AA33</f>
        <v>23452.7326218006</v>
      </c>
      <c r="AB37" s="31" t="n">
        <f aca="false">AB28+AB31+AB33</f>
        <v>19642.9141343208</v>
      </c>
      <c r="AC37" s="31" t="n">
        <f aca="false">AC28+AC31+AC33</f>
        <v>129091.039892791</v>
      </c>
      <c r="AD37" s="31" t="n">
        <f aca="false">AD28+AD31+AD33</f>
        <v>125196.098079052</v>
      </c>
      <c r="AE37" s="31" t="n">
        <f aca="false">AE28+AE31+AE33</f>
        <v>121257.057492095</v>
      </c>
      <c r="AF37" s="31" t="n">
        <f aca="false">AF28+AF31+AF33</f>
        <v>117272.867156143</v>
      </c>
      <c r="AG37" s="31" t="n">
        <f aca="false">AG28+AG31+AG33</f>
        <v>38242.4559209001</v>
      </c>
    </row>
    <row r="38" customFormat="false" ht="15" hidden="false" customHeight="false" outlineLevel="0" collapsed="false">
      <c r="A38" s="35" t="s">
        <v>221</v>
      </c>
      <c r="B38" s="17" t="s">
        <v>205</v>
      </c>
      <c r="C38" s="31" t="n">
        <f aca="false">0</f>
        <v>0</v>
      </c>
      <c r="D38" s="31" t="n">
        <f aca="false">-MAX(0,D37)*Assumptions!$C$55</f>
        <v>-28068.75</v>
      </c>
      <c r="E38" s="31" t="n">
        <f aca="false">-MAX(0,E37)*Assumptions!$C$55</f>
        <v>-30003.7895937619</v>
      </c>
      <c r="F38" s="31" t="n">
        <f aca="false">-MAX(0,F37)*Assumptions!$C$55</f>
        <v>-31997.4700857057</v>
      </c>
      <c r="G38" s="31" t="n">
        <f aca="false">-MAX(0,G37)*Assumptions!$C$55</f>
        <v>-34052.3738784172</v>
      </c>
      <c r="H38" s="31" t="n">
        <f aca="false">-MAX(0,H37)*Assumptions!$C$55</f>
        <v>-36171.2172115819</v>
      </c>
      <c r="I38" s="31" t="n">
        <f aca="false">-MAX(0,I37)*Assumptions!$C$55</f>
        <v>-38356.857428587</v>
      </c>
      <c r="J38" s="31" t="n">
        <f aca="false">-MAX(0,J37)*Assumptions!$C$55</f>
        <v>-40612.3006419322</v>
      </c>
      <c r="K38" s="31" t="n">
        <f aca="false">-MAX(0,K37)*Assumptions!$C$55</f>
        <v>-42940.7098193831</v>
      </c>
      <c r="L38" s="31" t="n">
        <f aca="false">-MAX(0,L37)*Assumptions!$C$55</f>
        <v>-45345.4133140067</v>
      </c>
      <c r="M38" s="31" t="n">
        <f aca="false">-MAX(0,M37)*Assumptions!$C$55</f>
        <v>-47829.9138624992</v>
      </c>
      <c r="N38" s="31" t="n">
        <f aca="false">-MAX(0,N37)*Assumptions!$C$55</f>
        <v>-50397.8980775638</v>
      </c>
      <c r="O38" s="31" t="n">
        <f aca="false">-MAX(0,O37)*Assumptions!$C$55</f>
        <v>-53053.2464615094</v>
      </c>
      <c r="P38" s="31" t="n">
        <f aca="false">-MAX(0,P37)*Assumptions!$C$55</f>
        <v>-55800.0439697356</v>
      </c>
      <c r="Q38" s="31" t="n">
        <f aca="false">-MAX(0,Q37)*Assumptions!$C$55</f>
        <v>-58642.5911543493</v>
      </c>
      <c r="R38" s="31" t="n">
        <f aca="false">-MAX(0,R37)*Assumptions!$C$55</f>
        <v>-61585.4159198185</v>
      </c>
      <c r="S38" s="31" t="n">
        <f aca="false">-MAX(0,S37)*Assumptions!$C$55</f>
        <v>-7527.13475576791</v>
      </c>
      <c r="T38" s="31" t="n">
        <f aca="false">-MAX(0,T37)*Assumptions!$C$55</f>
        <v>-8419.7968938808</v>
      </c>
      <c r="U38" s="31" t="n">
        <f aca="false">-MAX(0,U37)*Assumptions!$C$55</f>
        <v>-9401.13128059916</v>
      </c>
      <c r="V38" s="31" t="n">
        <f aca="false">-MAX(0,V37)*Assumptions!$C$55</f>
        <v>-10476.2733439246</v>
      </c>
      <c r="W38" s="31" t="n">
        <f aca="false">-MAX(0,W37)*Assumptions!$C$55</f>
        <v>-9572.75707603527</v>
      </c>
      <c r="X38" s="31" t="n">
        <f aca="false">-MAX(0,X37)*Assumptions!$C$55</f>
        <v>-8659.92225396193</v>
      </c>
      <c r="Y38" s="31" t="n">
        <f aca="false">-MAX(0,Y37)*Assumptions!$C$55</f>
        <v>-7737.53874776511</v>
      </c>
      <c r="Z38" s="31" t="n">
        <f aca="false">-MAX(0,Z37)*Assumptions!$C$55</f>
        <v>-6805.37204370075</v>
      </c>
      <c r="AA38" s="31" t="n">
        <f aca="false">-MAX(0,AA37)*Assumptions!$C$55</f>
        <v>-5863.18315545015</v>
      </c>
      <c r="AB38" s="31" t="n">
        <f aca="false">-MAX(0,AB37)*Assumptions!$C$55</f>
        <v>-4910.7285335802</v>
      </c>
      <c r="AC38" s="31" t="n">
        <f aca="false">-MAX(0,AC37)*Assumptions!$C$55</f>
        <v>-32272.7599731977</v>
      </c>
      <c r="AD38" s="31" t="n">
        <f aca="false">-MAX(0,AD37)*Assumptions!$C$55</f>
        <v>-31299.0245197629</v>
      </c>
      <c r="AE38" s="31" t="n">
        <f aca="false">-MAX(0,AE37)*Assumptions!$C$55</f>
        <v>-30314.2643730238</v>
      </c>
      <c r="AF38" s="31" t="n">
        <f aca="false">-MAX(0,AF37)*Assumptions!$C$55</f>
        <v>-29318.2167890357</v>
      </c>
      <c r="AG38" s="31" t="n">
        <f aca="false">-MAX(0,AG37)*Assumptions!$C$55</f>
        <v>-9560.61398022503</v>
      </c>
    </row>
    <row r="39" customFormat="false" ht="15" hidden="false" customHeight="false" outlineLevel="0" collapsed="false">
      <c r="A39" s="35" t="s">
        <v>222</v>
      </c>
      <c r="B39" s="17" t="s">
        <v>205</v>
      </c>
      <c r="C39" s="31" t="n">
        <f aca="false">0</f>
        <v>0</v>
      </c>
      <c r="D39" s="31" t="n">
        <f aca="false">D37+D38</f>
        <v>84206.25</v>
      </c>
      <c r="E39" s="31" t="n">
        <f aca="false">E37+E38</f>
        <v>90011.3687812857</v>
      </c>
      <c r="F39" s="31" t="n">
        <f aca="false">F37+F38</f>
        <v>95992.410257117</v>
      </c>
      <c r="G39" s="31" t="n">
        <f aca="false">G37+G38</f>
        <v>102157.121635252</v>
      </c>
      <c r="H39" s="31" t="n">
        <f aca="false">H37+H38</f>
        <v>108513.651634746</v>
      </c>
      <c r="I39" s="31" t="n">
        <f aca="false">I37+I38</f>
        <v>115070.572285761</v>
      </c>
      <c r="J39" s="31" t="n">
        <f aca="false">J37+J38</f>
        <v>121836.901925796</v>
      </c>
      <c r="K39" s="31" t="n">
        <f aca="false">K37+K38</f>
        <v>128822.129458149</v>
      </c>
      <c r="L39" s="31" t="n">
        <f aca="false">L37+L38</f>
        <v>136036.23994202</v>
      </c>
      <c r="M39" s="31" t="n">
        <f aca="false">M37+M38</f>
        <v>143489.741587497</v>
      </c>
      <c r="N39" s="31" t="n">
        <f aca="false">N37+N38</f>
        <v>151193.694232691</v>
      </c>
      <c r="O39" s="31" t="n">
        <f aca="false">O37+O38</f>
        <v>159159.739384528</v>
      </c>
      <c r="P39" s="31" t="n">
        <f aca="false">P37+P38</f>
        <v>167400.131909207</v>
      </c>
      <c r="Q39" s="31" t="n">
        <f aca="false">Q37+Q38</f>
        <v>175927.773463048</v>
      </c>
      <c r="R39" s="31" t="n">
        <f aca="false">R37+R38</f>
        <v>184756.247759455</v>
      </c>
      <c r="S39" s="31" t="n">
        <f aca="false">S37+S38</f>
        <v>22581.4042673037</v>
      </c>
      <c r="T39" s="31" t="n">
        <f aca="false">T37+T38</f>
        <v>25259.3906816424</v>
      </c>
      <c r="U39" s="31" t="n">
        <f aca="false">U37+U38</f>
        <v>28203.3938417975</v>
      </c>
      <c r="V39" s="31" t="n">
        <f aca="false">V37+V38</f>
        <v>31428.8200317739</v>
      </c>
      <c r="W39" s="31" t="n">
        <f aca="false">W37+W38</f>
        <v>28718.2712281058</v>
      </c>
      <c r="X39" s="31" t="n">
        <f aca="false">X37+X38</f>
        <v>25979.7667618858</v>
      </c>
      <c r="Y39" s="31" t="n">
        <f aca="false">Y37+Y38</f>
        <v>23212.6162432953</v>
      </c>
      <c r="Z39" s="31" t="n">
        <f aca="false">Z37+Z38</f>
        <v>20416.1161311022</v>
      </c>
      <c r="AA39" s="31" t="n">
        <f aca="false">AA37+AA38</f>
        <v>17589.5494663505</v>
      </c>
      <c r="AB39" s="31" t="n">
        <f aca="false">AB37+AB38</f>
        <v>14732.1856007406</v>
      </c>
      <c r="AC39" s="31" t="n">
        <f aca="false">AC37+AC38</f>
        <v>96818.2799195932</v>
      </c>
      <c r="AD39" s="31" t="n">
        <f aca="false">AD37+AD38</f>
        <v>93897.0735592887</v>
      </c>
      <c r="AE39" s="31" t="n">
        <f aca="false">AE37+AE38</f>
        <v>90942.7931190715</v>
      </c>
      <c r="AF39" s="31" t="n">
        <f aca="false">AF37+AF38</f>
        <v>87954.6503671071</v>
      </c>
      <c r="AG39" s="31" t="n">
        <f aca="false">AG37+AG38</f>
        <v>28681.8419406751</v>
      </c>
    </row>
    <row r="41" customFormat="false" ht="19.5" hidden="false" customHeight="true" outlineLevel="0" collapsed="false">
      <c r="A41" s="15" t="s">
        <v>223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customFormat="false" ht="15" hidden="false" customHeight="false" outlineLevel="0" collapsed="false">
      <c r="A42" s="36" t="s">
        <v>224</v>
      </c>
      <c r="B42" s="17" t="s">
        <v>205</v>
      </c>
      <c r="C42" s="29" t="n">
        <f aca="false">0</f>
        <v>0</v>
      </c>
      <c r="D42" s="29" t="n">
        <f aca="false">D28+D38</f>
        <v>290978.75</v>
      </c>
      <c r="E42" s="29" t="n">
        <f aca="false">E28+E38</f>
        <v>293613.289406238</v>
      </c>
      <c r="F42" s="29" t="n">
        <f aca="false">F28+F38</f>
        <v>296249.369641394</v>
      </c>
      <c r="G42" s="29" t="n">
        <f aca="false">G28+G38</f>
        <v>298885.146910617</v>
      </c>
      <c r="H42" s="29" t="n">
        <f aca="false">H28+H38</f>
        <v>301518.651425208</v>
      </c>
      <c r="I42" s="29" t="n">
        <f aca="false">I28+I38</f>
        <v>304147.780189652</v>
      </c>
      <c r="J42" s="29" t="n">
        <f aca="false">J28+J38</f>
        <v>306770.289389353</v>
      </c>
      <c r="K42" s="29" t="n">
        <f aca="false">K28+K38</f>
        <v>309383.786357154</v>
      </c>
      <c r="L42" s="29" t="n">
        <f aca="false">L28+L38</f>
        <v>311985.721095423</v>
      </c>
      <c r="M42" s="29" t="n">
        <f aca="false">M28+M38</f>
        <v>314573.37732929</v>
      </c>
      <c r="N42" s="29" t="n">
        <f aca="false">N28+N38</f>
        <v>317143.863065235</v>
      </c>
      <c r="O42" s="29" t="n">
        <f aca="false">O28+O38</f>
        <v>319694.100627814</v>
      </c>
      <c r="P42" s="29" t="n">
        <f aca="false">P28+P38</f>
        <v>322220.816145826</v>
      </c>
      <c r="Q42" s="29" t="n">
        <f aca="false">Q28+Q38</f>
        <v>324720.528457633</v>
      </c>
      <c r="R42" s="29" t="n">
        <f aca="false">R28+R38</f>
        <v>327189.537403696</v>
      </c>
      <c r="S42" s="29" t="n">
        <f aca="false">S28+S38</f>
        <v>158305.45796693</v>
      </c>
      <c r="T42" s="29" t="n">
        <f aca="false">T28+T38</f>
        <v>153905.2004597</v>
      </c>
      <c r="U42" s="29" t="n">
        <f aca="false">U28+U38</f>
        <v>149381.656282601</v>
      </c>
      <c r="V42" s="29" t="n">
        <f aca="false">V28+V38</f>
        <v>144728.820031774</v>
      </c>
      <c r="W42" s="29" t="n">
        <f aca="false">W28+W38</f>
        <v>142018.271228106</v>
      </c>
      <c r="X42" s="29" t="n">
        <f aca="false">X28+X38</f>
        <v>139279.766761886</v>
      </c>
      <c r="Y42" s="29" t="n">
        <f aca="false">Y28+Y38</f>
        <v>136512.616243295</v>
      </c>
      <c r="Z42" s="29" t="n">
        <f aca="false">Z28+Z38</f>
        <v>133716.116131102</v>
      </c>
      <c r="AA42" s="29" t="n">
        <f aca="false">AA28+AA38</f>
        <v>130889.54946635</v>
      </c>
      <c r="AB42" s="29" t="n">
        <f aca="false">AB28+AB38</f>
        <v>128032.185600741</v>
      </c>
      <c r="AC42" s="29" t="n">
        <f aca="false">AC28+AC38</f>
        <v>96818.2799195932</v>
      </c>
      <c r="AD42" s="29" t="n">
        <f aca="false">AD28+AD38</f>
        <v>93897.0735592887</v>
      </c>
      <c r="AE42" s="29" t="n">
        <f aca="false">AE28+AE38</f>
        <v>90942.7931190715</v>
      </c>
      <c r="AF42" s="29" t="n">
        <f aca="false">AF28+AF38</f>
        <v>87954.6503671071</v>
      </c>
      <c r="AG42" s="29" t="n">
        <f aca="false">AG28+AG38</f>
        <v>28681.8419406751</v>
      </c>
    </row>
    <row r="43" customFormat="false" ht="15" hidden="false" customHeight="false" outlineLevel="0" collapsed="false">
      <c r="A43" s="35" t="s">
        <v>225</v>
      </c>
      <c r="B43" s="17" t="s">
        <v>226</v>
      </c>
      <c r="C43" s="39" t="n">
        <f aca="false">0</f>
        <v>0</v>
      </c>
      <c r="D43" s="39" t="n">
        <f aca="false">IFERROR(IF((D33+D34)=0,0,D42/(-(D33+D34))),0)</f>
        <v>1.92548907932699</v>
      </c>
      <c r="E43" s="39" t="n">
        <f aca="false">IFERROR(IF((E33+E34)=0,0,E42/(-(E33+E34))),0)</f>
        <v>1.94292257526361</v>
      </c>
      <c r="F43" s="39" t="n">
        <f aca="false">IFERROR(IF((F33+F34)=0,0,F42/(-(F33+F34))),0)</f>
        <v>1.96036626730306</v>
      </c>
      <c r="G43" s="39" t="n">
        <f aca="false">IFERROR(IF((G33+G34)=0,0,G42/(-(G33+G34))),0)</f>
        <v>1.97780795453082</v>
      </c>
      <c r="H43" s="39" t="n">
        <f aca="false">IFERROR(IF((H33+H34)=0,0,H42/(-(H33+H34))),0)</f>
        <v>1.99523460229532</v>
      </c>
      <c r="I43" s="39" t="n">
        <f aca="false">IFERROR(IF((I33+I34)=0,0,I42/(-(I33+I34))),0)</f>
        <v>2.01263229447759</v>
      </c>
      <c r="J43" s="39" t="n">
        <f aca="false">IFERROR(IF((J33+J34)=0,0,J42/(-(J33+J34))),0)</f>
        <v>2.0299861831188</v>
      </c>
      <c r="K43" s="39" t="n">
        <f aca="false">IFERROR(IF((K33+K34)=0,0,K42/(-(K33+K34))),0)</f>
        <v>2.04728043526043</v>
      </c>
      <c r="L43" s="39" t="n">
        <f aca="false">IFERROR(IF((L33+L34)=0,0,L42/(-(L33+L34))),0)</f>
        <v>2.06449817684348</v>
      </c>
      <c r="M43" s="39" t="n">
        <f aca="false">IFERROR(IF((M33+M34)=0,0,M42/(-(M33+M34))),0)</f>
        <v>2.08162143350522</v>
      </c>
      <c r="N43" s="39" t="n">
        <f aca="false">IFERROR(IF((N33+N34)=0,0,N42/(-(N33+N34))),0)</f>
        <v>2.09863106810269</v>
      </c>
      <c r="O43" s="39" t="n">
        <f aca="false">IFERROR(IF((O33+O34)=0,0,O42/(-(O33+O34))),0)</f>
        <v>2.11550671478285</v>
      </c>
      <c r="P43" s="39" t="n">
        <f aca="false">IFERROR(IF((P33+P34)=0,0,P42/(-(P33+P34))),0)</f>
        <v>2.1322267094096</v>
      </c>
      <c r="Q43" s="39" t="n">
        <f aca="false">IFERROR(IF((Q33+Q34)=0,0,Q42/(-(Q33+Q34))),0)</f>
        <v>2.1487680161471</v>
      </c>
      <c r="R43" s="39" t="n">
        <f aca="false">IFERROR(IF((R33+R34)=0,0,R42/(-(R33+R34))),0)</f>
        <v>2.16510614998816</v>
      </c>
      <c r="S43" s="39" t="n">
        <f aca="false">IFERROR(IF((S33+S34)=0,0,S42/(-(S33+S34))),0)</f>
        <v>1.04755220274051</v>
      </c>
      <c r="T43" s="39" t="n">
        <f aca="false">IFERROR(IF((T33+T34)=0,0,T42/(-(T33+T34))),0)</f>
        <v>1.01843444834643</v>
      </c>
      <c r="U43" s="39" t="n">
        <f aca="false">IFERROR(IF((U33+U34)=0,0,U42/(-(U33+U34))),0)</f>
        <v>0.988500871022115</v>
      </c>
      <c r="V43" s="39" t="n">
        <f aca="false">IFERROR(IF((V33+V34)=0,0,V42/(-(V33+V34))),0)</f>
        <v>0</v>
      </c>
      <c r="W43" s="39" t="n">
        <f aca="false">IFERROR(IF((W33+W34)=0,0,W42/(-(W33+W34))),0)</f>
        <v>0</v>
      </c>
      <c r="X43" s="39" t="n">
        <f aca="false">IFERROR(IF((X33+X34)=0,0,X42/(-(X33+X34))),0)</f>
        <v>0</v>
      </c>
      <c r="Y43" s="39" t="n">
        <f aca="false">IFERROR(IF((Y33+Y34)=0,0,Y42/(-(Y33+Y34))),0)</f>
        <v>0</v>
      </c>
      <c r="Z43" s="39" t="n">
        <f aca="false">IFERROR(IF((Z33+Z34)=0,0,Z42/(-(Z33+Z34))),0)</f>
        <v>0</v>
      </c>
      <c r="AA43" s="39" t="n">
        <f aca="false">IFERROR(IF((AA33+AA34)=0,0,AA42/(-(AA33+AA34))),0)</f>
        <v>0</v>
      </c>
      <c r="AB43" s="39" t="n">
        <f aca="false">IFERROR(IF((AB33+AB34)=0,0,AB42/(-(AB33+AB34))),0)</f>
        <v>0</v>
      </c>
      <c r="AC43" s="39" t="n">
        <f aca="false">IFERROR(IF((AC33+AC34)=0,0,AC42/(-(AC33+AC34))),0)</f>
        <v>0</v>
      </c>
      <c r="AD43" s="39" t="n">
        <f aca="false">IFERROR(IF((AD33+AD34)=0,0,AD42/(-(AD33+AD34))),0)</f>
        <v>0</v>
      </c>
      <c r="AE43" s="39" t="n">
        <f aca="false">IFERROR(IF((AE33+AE34)=0,0,AE42/(-(AE33+AE34))),0)</f>
        <v>0</v>
      </c>
      <c r="AF43" s="39" t="n">
        <f aca="false">IFERROR(IF((AF33+AF34)=0,0,AF42/(-(AF33+AF34))),0)</f>
        <v>0</v>
      </c>
      <c r="AG43" s="39" t="n">
        <f aca="false">IFERROR(IF((AG33+AG34)=0,0,AG42/(-(AG33+AG34))),0)</f>
        <v>0</v>
      </c>
    </row>
    <row r="45" customFormat="false" ht="15" hidden="false" customHeight="false" outlineLevel="0" collapsed="false">
      <c r="A45" s="35" t="s">
        <v>227</v>
      </c>
      <c r="B45" s="17" t="s">
        <v>205</v>
      </c>
      <c r="C45" s="31" t="n">
        <f aca="false">-Assumptions!$C$64</f>
        <v>-2832500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H45" s="31" t="n">
        <f aca="false">0</f>
        <v>0</v>
      </c>
      <c r="I45" s="31" t="n">
        <f aca="false">0</f>
        <v>0</v>
      </c>
      <c r="J45" s="31" t="n">
        <f aca="false">0</f>
        <v>0</v>
      </c>
      <c r="K45" s="31" t="n">
        <f aca="false">0</f>
        <v>0</v>
      </c>
      <c r="L45" s="31" t="n">
        <f aca="false">0</f>
        <v>0</v>
      </c>
      <c r="M45" s="31" t="n">
        <f aca="false">0</f>
        <v>0</v>
      </c>
      <c r="N45" s="31" t="n">
        <f aca="false">0</f>
        <v>0</v>
      </c>
      <c r="O45" s="31" t="n">
        <f aca="false">0</f>
        <v>0</v>
      </c>
      <c r="P45" s="31" t="n">
        <f aca="false">0</f>
        <v>0</v>
      </c>
      <c r="Q45" s="31" t="n">
        <f aca="false">0</f>
        <v>0</v>
      </c>
      <c r="R45" s="31" t="n">
        <f aca="false">0</f>
        <v>0</v>
      </c>
      <c r="S45" s="31" t="n">
        <f aca="false">0</f>
        <v>0</v>
      </c>
      <c r="T45" s="31" t="n">
        <f aca="false">0</f>
        <v>0</v>
      </c>
      <c r="U45" s="31" t="n">
        <f aca="false">0</f>
        <v>0</v>
      </c>
      <c r="V45" s="31" t="n">
        <f aca="false">0</f>
        <v>0</v>
      </c>
      <c r="W45" s="31" t="n">
        <f aca="false">0</f>
        <v>0</v>
      </c>
      <c r="X45" s="31" t="n">
        <f aca="false">0</f>
        <v>0</v>
      </c>
      <c r="Y45" s="31" t="n">
        <f aca="false">0</f>
        <v>0</v>
      </c>
      <c r="Z45" s="31" t="n">
        <f aca="false">0</f>
        <v>0</v>
      </c>
      <c r="AA45" s="31" t="n">
        <f aca="false">0</f>
        <v>0</v>
      </c>
      <c r="AB45" s="31" t="n">
        <f aca="false">0</f>
        <v>0</v>
      </c>
      <c r="AC45" s="31" t="n">
        <f aca="false">0</f>
        <v>0</v>
      </c>
      <c r="AD45" s="31" t="n">
        <f aca="false">0</f>
        <v>0</v>
      </c>
      <c r="AE45" s="31" t="n">
        <f aca="false">0</f>
        <v>0</v>
      </c>
      <c r="AF45" s="31" t="n">
        <f aca="false">0</f>
        <v>0</v>
      </c>
      <c r="AG45" s="31" t="n">
        <f aca="false">0</f>
        <v>0</v>
      </c>
    </row>
    <row r="46" customFormat="false" ht="15" hidden="false" customHeight="false" outlineLevel="0" collapsed="false">
      <c r="A46" s="36" t="s">
        <v>228</v>
      </c>
      <c r="B46" s="17" t="s">
        <v>205</v>
      </c>
      <c r="C46" s="29" t="n">
        <f aca="false">C45</f>
        <v>-2832500</v>
      </c>
      <c r="D46" s="29" t="n">
        <f aca="false">D28-MAX(0,D28+D31)*Assumptions!$C$55</f>
        <v>267610.625</v>
      </c>
      <c r="E46" s="29" t="n">
        <f aca="false">E28-MAX(0,E28+E31)*Assumptions!$C$55</f>
        <v>271037.80925</v>
      </c>
      <c r="F46" s="29" t="n">
        <f aca="false">F28-MAX(0,F28+F31)*Assumptions!$C$55</f>
        <v>274510.129795325</v>
      </c>
      <c r="G46" s="29" t="n">
        <f aca="false">G28-MAX(0,G28+G31)*Assumptions!$C$55</f>
        <v>278028.140591775</v>
      </c>
      <c r="H46" s="29" t="n">
        <f aca="false">H28-MAX(0,H28+H31)*Assumptions!$C$55</f>
        <v>281592.401477593</v>
      </c>
      <c r="I46" s="29" t="n">
        <f aca="false">I28-MAX(0,I28+I31)*Assumptions!$C$55</f>
        <v>285203.478213679</v>
      </c>
      <c r="J46" s="29" t="n">
        <f aca="false">J28-MAX(0,J28+J31)*Assumptions!$C$55</f>
        <v>288861.942523464</v>
      </c>
      <c r="K46" s="29" t="n">
        <f aca="false">K28-MAX(0,K28+K31)*Assumptions!$C$55</f>
        <v>292568.372132403</v>
      </c>
      <c r="L46" s="29" t="n">
        <f aca="false">L28-MAX(0,L28+L31)*Assumptions!$C$55</f>
        <v>296323.350807072</v>
      </c>
      <c r="M46" s="29" t="n">
        <f aca="false">M28-MAX(0,M28+M31)*Assumptions!$C$55</f>
        <v>300127.468393842</v>
      </c>
      <c r="N46" s="29" t="n">
        <f aca="false">N28-MAX(0,N28+N31)*Assumptions!$C$55</f>
        <v>303981.320857099</v>
      </c>
      <c r="O46" s="29" t="n">
        <f aca="false">O28-MAX(0,O28+O31)*Assumptions!$C$55</f>
        <v>307885.510316993</v>
      </c>
      <c r="P46" s="29" t="n">
        <f aca="false">P28-MAX(0,P28+P31)*Assumptions!$C$55</f>
        <v>311840.645086671</v>
      </c>
      <c r="Q46" s="29" t="n">
        <f aca="false">Q28-MAX(0,Q28+Q31)*Assumptions!$C$55</f>
        <v>315847.339708987</v>
      </c>
      <c r="R46" s="29" t="n">
        <f aca="false">R28-MAX(0,R28+R31)*Assumptions!$C$55</f>
        <v>319906.214992636</v>
      </c>
      <c r="S46" s="29" t="n">
        <f aca="false">S28-MAX(0,S28+S31)*Assumptions!$C$55</f>
        <v>152699.444542023</v>
      </c>
      <c r="T46" s="29" t="n">
        <f aca="false">T28-MAX(0,T28+T31)*Assumptions!$C$55</f>
        <v>150068.748015186</v>
      </c>
      <c r="U46" s="29" t="n">
        <f aca="false">U28-MAX(0,U28+U31)*Assumptions!$C$55</f>
        <v>147412.0906724</v>
      </c>
      <c r="V46" s="29" t="n">
        <f aca="false">V28-MAX(0,V28+V31)*Assumptions!$C$55</f>
        <v>144728.820031774</v>
      </c>
      <c r="W46" s="29" t="n">
        <f aca="false">W28-MAX(0,W28+W31)*Assumptions!$C$55</f>
        <v>142018.271228106</v>
      </c>
      <c r="X46" s="29" t="n">
        <f aca="false">X28-MAX(0,X28+X31)*Assumptions!$C$55</f>
        <v>139279.766761886</v>
      </c>
      <c r="Y46" s="29" t="n">
        <f aca="false">Y28-MAX(0,Y28+Y31)*Assumptions!$C$55</f>
        <v>136512.616243295</v>
      </c>
      <c r="Z46" s="29" t="n">
        <f aca="false">Z28-MAX(0,Z28+Z31)*Assumptions!$C$55</f>
        <v>133716.116131102</v>
      </c>
      <c r="AA46" s="29" t="n">
        <f aca="false">AA28-MAX(0,AA28+AA31)*Assumptions!$C$55</f>
        <v>130889.54946635</v>
      </c>
      <c r="AB46" s="29" t="n">
        <f aca="false">AB28-MAX(0,AB28+AB31)*Assumptions!$C$55</f>
        <v>128032.185600741</v>
      </c>
      <c r="AC46" s="29" t="n">
        <f aca="false">AC28-MAX(0,AC28+AC31)*Assumptions!$C$55</f>
        <v>96818.2799195932</v>
      </c>
      <c r="AD46" s="29" t="n">
        <f aca="false">AD28-MAX(0,AD28+AD31)*Assumptions!$C$55</f>
        <v>93897.0735592887</v>
      </c>
      <c r="AE46" s="29" t="n">
        <f aca="false">AE28-MAX(0,AE28+AE31)*Assumptions!$C$55</f>
        <v>90942.7931190715</v>
      </c>
      <c r="AF46" s="29" t="n">
        <f aca="false">AF28-MAX(0,AF28+AF31)*Assumptions!$C$55</f>
        <v>87954.6503671071</v>
      </c>
      <c r="AG46" s="29" t="n">
        <f aca="false">AG28-MAX(0,AG28+AG31)*Assumptions!$C$55</f>
        <v>28681.8419406751</v>
      </c>
    </row>
    <row r="47" customFormat="false" ht="15" hidden="false" customHeight="false" outlineLevel="0" collapsed="false">
      <c r="A47" s="36" t="s">
        <v>229</v>
      </c>
      <c r="B47" s="17" t="s">
        <v>205</v>
      </c>
      <c r="C47" s="29" t="n">
        <f aca="false">-(Assumptions!$C$67+Assumptions!$C$68)</f>
        <v>-1133000</v>
      </c>
      <c r="D47" s="29" t="n">
        <f aca="false">D39-D31+D34</f>
        <v>139859.352271863</v>
      </c>
      <c r="E47" s="29" t="n">
        <f aca="false">E39-E31+E34</f>
        <v>142493.891678101</v>
      </c>
      <c r="F47" s="29" t="n">
        <f aca="false">F39-F31+F34</f>
        <v>145129.971913257</v>
      </c>
      <c r="G47" s="29" t="n">
        <f aca="false">G39-G31+G34</f>
        <v>147765.74918248</v>
      </c>
      <c r="H47" s="29" t="n">
        <f aca="false">H39-H31+H34</f>
        <v>150399.253697071</v>
      </c>
      <c r="I47" s="29" t="n">
        <f aca="false">I39-I31+I34</f>
        <v>153028.382461515</v>
      </c>
      <c r="J47" s="29" t="n">
        <f aca="false">J39-J31+J34</f>
        <v>155650.891661216</v>
      </c>
      <c r="K47" s="29" t="n">
        <f aca="false">K39-K31+K34</f>
        <v>158264.388629017</v>
      </c>
      <c r="L47" s="29" t="n">
        <f aca="false">L39-L31+L34</f>
        <v>160866.323367286</v>
      </c>
      <c r="M47" s="29" t="n">
        <f aca="false">M39-M31+M34</f>
        <v>163453.979601153</v>
      </c>
      <c r="N47" s="29" t="n">
        <f aca="false">N39-N31+N34</f>
        <v>166024.465337098</v>
      </c>
      <c r="O47" s="29" t="n">
        <f aca="false">O39-O31+O34</f>
        <v>168574.702899677</v>
      </c>
      <c r="P47" s="29" t="n">
        <f aca="false">P39-P31+P34</f>
        <v>171101.418417689</v>
      </c>
      <c r="Q47" s="29" t="n">
        <f aca="false">Q39-Q31+Q34</f>
        <v>173601.130729496</v>
      </c>
      <c r="R47" s="29" t="n">
        <f aca="false">R39-R31+R34</f>
        <v>176070.139675559</v>
      </c>
      <c r="S47" s="29" t="n">
        <f aca="false">S39-S31+S34</f>
        <v>7186.06023879255</v>
      </c>
      <c r="T47" s="29" t="n">
        <f aca="false">T39-T31+T34</f>
        <v>2785.80273156313</v>
      </c>
      <c r="U47" s="29" t="n">
        <f aca="false">U39-U31+U34</f>
        <v>-1737.74144553617</v>
      </c>
      <c r="V47" s="29" t="n">
        <f aca="false">V39-V31+V34</f>
        <v>144728.820031774</v>
      </c>
      <c r="W47" s="29" t="n">
        <f aca="false">W39-W31+W34</f>
        <v>142018.271228106</v>
      </c>
      <c r="X47" s="29" t="n">
        <f aca="false">X39-X31+X34</f>
        <v>139279.766761886</v>
      </c>
      <c r="Y47" s="29" t="n">
        <f aca="false">Y39-Y31+Y34</f>
        <v>136512.616243295</v>
      </c>
      <c r="Z47" s="29" t="n">
        <f aca="false">Z39-Z31+Z34</f>
        <v>133716.116131102</v>
      </c>
      <c r="AA47" s="29" t="n">
        <f aca="false">AA39-AA31+AA34</f>
        <v>130889.54946635</v>
      </c>
      <c r="AB47" s="29" t="n">
        <f aca="false">AB39-AB31+AB34</f>
        <v>128032.185600741</v>
      </c>
      <c r="AC47" s="29" t="n">
        <f aca="false">AC39-AC31+AC34</f>
        <v>96818.2799195932</v>
      </c>
      <c r="AD47" s="29" t="n">
        <f aca="false">AD39-AD31+AD34</f>
        <v>93897.0735592887</v>
      </c>
      <c r="AE47" s="29" t="n">
        <f aca="false">AE39-AE31+AE34</f>
        <v>90942.7931190715</v>
      </c>
      <c r="AF47" s="29" t="n">
        <f aca="false">AF39-AF31+AF34</f>
        <v>87954.6503671071</v>
      </c>
      <c r="AG47" s="29" t="n">
        <f aca="false">AG39-AG31+AG34</f>
        <v>28681.8419406751</v>
      </c>
    </row>
    <row r="48" customFormat="false" ht="15" hidden="false" customHeight="false" outlineLevel="0" collapsed="false">
      <c r="A48" s="35" t="s">
        <v>230</v>
      </c>
      <c r="B48" s="17" t="s">
        <v>205</v>
      </c>
      <c r="C48" s="31" t="n">
        <f aca="false">C46</f>
        <v>-2832500</v>
      </c>
      <c r="D48" s="31" t="n">
        <f aca="false">C48+D46</f>
        <v>-2564889.375</v>
      </c>
      <c r="E48" s="31" t="n">
        <f aca="false">D48+E46</f>
        <v>-2293851.56575</v>
      </c>
      <c r="F48" s="31" t="n">
        <f aca="false">E48+F46</f>
        <v>-2019341.43595468</v>
      </c>
      <c r="G48" s="31" t="n">
        <f aca="false">F48+G46</f>
        <v>-1741313.2953629</v>
      </c>
      <c r="H48" s="31" t="n">
        <f aca="false">G48+H46</f>
        <v>-1459720.89388531</v>
      </c>
      <c r="I48" s="31" t="n">
        <f aca="false">H48+I46</f>
        <v>-1174517.41567163</v>
      </c>
      <c r="J48" s="31" t="n">
        <f aca="false">I48+J46</f>
        <v>-885655.473148164</v>
      </c>
      <c r="K48" s="31" t="n">
        <f aca="false">J48+K46</f>
        <v>-593087.101015761</v>
      </c>
      <c r="L48" s="31" t="n">
        <f aca="false">K48+L46</f>
        <v>-296763.750208689</v>
      </c>
      <c r="M48" s="31" t="n">
        <f aca="false">L48+M46</f>
        <v>3363.71818515286</v>
      </c>
      <c r="N48" s="31" t="n">
        <f aca="false">M48+N46</f>
        <v>307345.039042252</v>
      </c>
      <c r="O48" s="31" t="n">
        <f aca="false">N48+O46</f>
        <v>615230.549359245</v>
      </c>
      <c r="P48" s="31" t="n">
        <f aca="false">O48+P46</f>
        <v>927071.194445916</v>
      </c>
      <c r="Q48" s="31" t="n">
        <f aca="false">P48+Q46</f>
        <v>1242918.5341549</v>
      </c>
      <c r="R48" s="31" t="n">
        <f aca="false">Q48+R46</f>
        <v>1562824.74914754</v>
      </c>
      <c r="S48" s="31" t="n">
        <f aca="false">R48+S46</f>
        <v>1715524.19368956</v>
      </c>
      <c r="T48" s="31" t="n">
        <f aca="false">S48+T46</f>
        <v>1865592.94170475</v>
      </c>
      <c r="U48" s="31" t="n">
        <f aca="false">T48+U46</f>
        <v>2013005.03237715</v>
      </c>
      <c r="V48" s="31" t="n">
        <f aca="false">U48+V46</f>
        <v>2157733.85240892</v>
      </c>
      <c r="W48" s="31" t="n">
        <f aca="false">V48+W46</f>
        <v>2299752.12363703</v>
      </c>
      <c r="X48" s="31" t="n">
        <f aca="false">W48+X46</f>
        <v>2439031.89039891</v>
      </c>
      <c r="Y48" s="31" t="n">
        <f aca="false">X48+Y46</f>
        <v>2575544.50664221</v>
      </c>
      <c r="Z48" s="31" t="n">
        <f aca="false">Y48+Z46</f>
        <v>2709260.62277331</v>
      </c>
      <c r="AA48" s="31" t="n">
        <f aca="false">Z48+AA46</f>
        <v>2840150.17223966</v>
      </c>
      <c r="AB48" s="31" t="n">
        <f aca="false">AA48+AB46</f>
        <v>2968182.3578404</v>
      </c>
      <c r="AC48" s="31" t="n">
        <f aca="false">AB48+AC46</f>
        <v>3065000.63775999</v>
      </c>
      <c r="AD48" s="31" t="n">
        <f aca="false">AC48+AD46</f>
        <v>3158897.71131928</v>
      </c>
      <c r="AE48" s="31" t="n">
        <f aca="false">AD48+AE46</f>
        <v>3249840.50443835</v>
      </c>
      <c r="AF48" s="31" t="n">
        <f aca="false">AE48+AF46</f>
        <v>3337795.15480546</v>
      </c>
      <c r="AG48" s="31" t="n">
        <f aca="false">AF48+AG46</f>
        <v>3366476.99674614</v>
      </c>
    </row>
    <row r="49" customFormat="false" ht="15" hidden="false" customHeight="false" outlineLevel="0" collapsed="false">
      <c r="A49" s="35" t="s">
        <v>231</v>
      </c>
      <c r="B49" s="17" t="s">
        <v>205</v>
      </c>
      <c r="C49" s="31" t="n">
        <f aca="false">C46</f>
        <v>-2832500</v>
      </c>
      <c r="D49" s="31" t="n">
        <f aca="false">C49+D46/(1+Assumptions!$C$59)^1</f>
        <v>-2584712.38425926</v>
      </c>
      <c r="E49" s="31" t="n">
        <f aca="false">D49+E46/(1+Assumptions!$C$59)^2</f>
        <v>-2352341.14861969</v>
      </c>
      <c r="F49" s="31" t="n">
        <f aca="false">E49+F46/(1+Assumptions!$C$59)^3</f>
        <v>-2134426.15710152</v>
      </c>
      <c r="G49" s="31" t="n">
        <f aca="false">F49+G46/(1+Assumptions!$C$59)^4</f>
        <v>-1930067.17384908</v>
      </c>
      <c r="H49" s="31" t="n">
        <f aca="false">G49+H46/(1+Assumptions!$C$59)^5</f>
        <v>-1738420.11699105</v>
      </c>
      <c r="I49" s="31" t="n">
        <f aca="false">H49+I46/(1+Assumptions!$C$59)^6</f>
        <v>-1558693.54753937</v>
      </c>
      <c r="J49" s="31" t="n">
        <f aca="false">I49+J46/(1+Assumptions!$C$59)^7</f>
        <v>-1390145.37852017</v>
      </c>
      <c r="K49" s="31" t="n">
        <f aca="false">J49+K46/(1+Assumptions!$C$59)^8</f>
        <v>-1232079.79046763</v>
      </c>
      <c r="L49" s="31" t="n">
        <f aca="false">K49+L46/(1+Assumptions!$C$59)^9</f>
        <v>-1083844.34028946</v>
      </c>
      <c r="M49" s="31" t="n">
        <f aca="false">L49+M46/(1+Assumptions!$C$59)^10</f>
        <v>-944827.251334094</v>
      </c>
      <c r="N49" s="31" t="n">
        <f aca="false">M49+N46/(1+Assumptions!$C$59)^11</f>
        <v>-814454.87325966</v>
      </c>
      <c r="O49" s="31" t="n">
        <f aca="false">N49+O46/(1+Assumptions!$C$59)^12</f>
        <v>-692189.30102504</v>
      </c>
      <c r="P49" s="31" t="n">
        <f aca="false">O49+P46/(1+Assumptions!$C$59)^13</f>
        <v>-577526.142998226</v>
      </c>
      <c r="Q49" s="31" t="n">
        <f aca="false">P49+Q46/(1+Assumptions!$C$59)^14</f>
        <v>-469992.42880912</v>
      </c>
      <c r="R49" s="31" t="n">
        <f aca="false">Q49+R46/(1+Assumptions!$C$59)^15</f>
        <v>-369144.648165657</v>
      </c>
      <c r="S49" s="31" t="n">
        <f aca="false">R49+S46/(1+Assumptions!$C$59)^16</f>
        <v>-324573.13590198</v>
      </c>
      <c r="T49" s="31" t="n">
        <f aca="false">S49+T46/(1+Assumptions!$C$59)^17</f>
        <v>-284014.212731195</v>
      </c>
      <c r="U49" s="31" t="n">
        <f aca="false">T49+U46/(1+Assumptions!$C$59)^18</f>
        <v>-247124.480160454</v>
      </c>
      <c r="V49" s="31" t="n">
        <f aca="false">U49+V46/(1+Assumptions!$C$59)^19</f>
        <v>-213589.06655113</v>
      </c>
      <c r="W49" s="31" t="n">
        <f aca="false">V49+W46/(1+Assumptions!$C$59)^20</f>
        <v>-183119.301040517</v>
      </c>
      <c r="X49" s="31" t="n">
        <f aca="false">W49+X46/(1+Assumptions!$C$59)^21</f>
        <v>-155450.57484939</v>
      </c>
      <c r="Y49" s="31" t="n">
        <f aca="false">X49+Y46/(1+Assumptions!$C$59)^22</f>
        <v>-130340.375001107</v>
      </c>
      <c r="Z49" s="31" t="n">
        <f aca="false">Y49+Z46/(1+Assumptions!$C$59)^23</f>
        <v>-107566.476668027</v>
      </c>
      <c r="AA49" s="31" t="n">
        <f aca="false">Z49+AA46/(1+Assumptions!$C$59)^24</f>
        <v>-86925.2814569099</v>
      </c>
      <c r="AB49" s="31" t="n">
        <f aca="false">AA49+AB46/(1+Assumptions!$C$59)^25</f>
        <v>-68230.2899540684</v>
      </c>
      <c r="AC49" s="31" t="n">
        <f aca="false">AB49+AC46/(1+Assumptions!$C$59)^26</f>
        <v>-55140.2877400583</v>
      </c>
      <c r="AD49" s="31" t="n">
        <f aca="false">AC49+AD46/(1+Assumptions!$C$59)^27</f>
        <v>-43385.6118496424</v>
      </c>
      <c r="AE49" s="31" t="n">
        <f aca="false">AD49+AE46/(1+Assumptions!$C$59)^28</f>
        <v>-32844.0943296256</v>
      </c>
      <c r="AF49" s="31" t="n">
        <f aca="false">AE49+AF46/(1+Assumptions!$C$59)^29</f>
        <v>-23404.1399076855</v>
      </c>
      <c r="AG49" s="31" t="n">
        <f aca="false">AF49+AG46/(1+Assumptions!$C$59)^30</f>
        <v>-20553.8149630062</v>
      </c>
    </row>
  </sheetData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3" min="3" style="0" width="11"/>
  </cols>
  <sheetData>
    <row r="1" customFormat="false" ht="30" hidden="false" customHeight="true" outlineLevel="0" collapsed="false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8" hidden="false" customHeight="true" outlineLevel="0" collapsed="false">
      <c r="A2" s="2" t="s">
        <v>233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4" customFormat="false" ht="21.75" hidden="false" customHeight="true" outlineLevel="0" collapsed="false">
      <c r="A4" s="33" t="s">
        <v>168</v>
      </c>
      <c r="B4" s="33" t="s">
        <v>44</v>
      </c>
      <c r="C4" s="34" t="s">
        <v>169</v>
      </c>
      <c r="D4" s="34" t="s">
        <v>170</v>
      </c>
      <c r="E4" s="34" t="s">
        <v>171</v>
      </c>
      <c r="F4" s="34" t="s">
        <v>172</v>
      </c>
      <c r="G4" s="34" t="s">
        <v>173</v>
      </c>
      <c r="H4" s="34" t="s">
        <v>174</v>
      </c>
      <c r="I4" s="34" t="s">
        <v>175</v>
      </c>
      <c r="J4" s="34" t="s">
        <v>176</v>
      </c>
      <c r="K4" s="34" t="s">
        <v>177</v>
      </c>
      <c r="L4" s="34" t="s">
        <v>178</v>
      </c>
      <c r="M4" s="34" t="s">
        <v>179</v>
      </c>
      <c r="N4" s="34" t="s">
        <v>180</v>
      </c>
      <c r="O4" s="34" t="s">
        <v>181</v>
      </c>
      <c r="P4" s="34" t="s">
        <v>182</v>
      </c>
      <c r="Q4" s="34" t="s">
        <v>183</v>
      </c>
      <c r="R4" s="34" t="s">
        <v>184</v>
      </c>
      <c r="S4" s="34" t="s">
        <v>185</v>
      </c>
      <c r="T4" s="34" t="s">
        <v>186</v>
      </c>
      <c r="U4" s="34" t="s">
        <v>187</v>
      </c>
      <c r="V4" s="34" t="s">
        <v>188</v>
      </c>
      <c r="W4" s="34" t="s">
        <v>189</v>
      </c>
      <c r="X4" s="34" t="s">
        <v>190</v>
      </c>
      <c r="Y4" s="34" t="s">
        <v>191</v>
      </c>
      <c r="Z4" s="34" t="s">
        <v>192</v>
      </c>
      <c r="AA4" s="34" t="s">
        <v>193</v>
      </c>
      <c r="AB4" s="34" t="s">
        <v>194</v>
      </c>
      <c r="AC4" s="34" t="s">
        <v>195</v>
      </c>
      <c r="AD4" s="34" t="s">
        <v>196</v>
      </c>
      <c r="AE4" s="34" t="s">
        <v>197</v>
      </c>
      <c r="AF4" s="34" t="s">
        <v>198</v>
      </c>
      <c r="AG4" s="34" t="s">
        <v>199</v>
      </c>
    </row>
    <row r="5" customFormat="false" ht="19.5" hidden="false" customHeight="true" outlineLevel="0" collapsed="false">
      <c r="A5" s="15" t="s">
        <v>200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customFormat="false" ht="15" hidden="false" customHeight="false" outlineLevel="0" collapsed="false">
      <c r="A6" s="35" t="s">
        <v>201</v>
      </c>
      <c r="B6" s="17" t="s">
        <v>202</v>
      </c>
      <c r="C6" s="30" t="n">
        <f aca="false">0</f>
        <v>0</v>
      </c>
      <c r="D6" s="30" t="n">
        <f aca="false">Assumptions!$D$65*(1-Assumptions!$D$7)^(1-1)</f>
        <v>5900</v>
      </c>
      <c r="E6" s="30" t="n">
        <f aca="false">Assumptions!$D$65*(1-Assumptions!$D$7)^(2-1)</f>
        <v>5870.5</v>
      </c>
      <c r="F6" s="30" t="n">
        <f aca="false">Assumptions!$D$65*(1-Assumptions!$D$7)^(3-1)</f>
        <v>5841.1475</v>
      </c>
      <c r="G6" s="30" t="n">
        <f aca="false">Assumptions!$D$65*(1-Assumptions!$D$7)^(4-1)</f>
        <v>5811.9417625</v>
      </c>
      <c r="H6" s="30" t="n">
        <f aca="false">Assumptions!$D$65*(1-Assumptions!$D$7)^(5-1)</f>
        <v>5782.8820536875</v>
      </c>
      <c r="I6" s="30" t="n">
        <f aca="false">Assumptions!$D$65*(1-Assumptions!$D$7)^(6-1)</f>
        <v>5753.96764341906</v>
      </c>
      <c r="J6" s="30" t="n">
        <f aca="false">Assumptions!$D$65*(1-Assumptions!$D$7)^(7-1)</f>
        <v>5725.19780520197</v>
      </c>
      <c r="K6" s="30" t="n">
        <f aca="false">Assumptions!$D$65*(1-Assumptions!$D$7)^(8-1)</f>
        <v>5696.57181617596</v>
      </c>
      <c r="L6" s="30" t="n">
        <f aca="false">Assumptions!$D$65*(1-Assumptions!$D$7)^(9-1)</f>
        <v>5668.08895709508</v>
      </c>
      <c r="M6" s="30" t="n">
        <f aca="false">Assumptions!$D$65*(1-Assumptions!$D$7)^(10-1)</f>
        <v>5639.7485123096</v>
      </c>
      <c r="N6" s="30" t="n">
        <f aca="false">Assumptions!$D$65*(1-Assumptions!$D$7)^(11-1)</f>
        <v>5611.54976974805</v>
      </c>
      <c r="O6" s="30" t="n">
        <f aca="false">Assumptions!$D$65*(1-Assumptions!$D$7)^(12-1)</f>
        <v>5583.49202089931</v>
      </c>
      <c r="P6" s="30" t="n">
        <f aca="false">Assumptions!$D$65*(1-Assumptions!$D$7)^(13-1)</f>
        <v>5555.57456079482</v>
      </c>
      <c r="Q6" s="30" t="n">
        <f aca="false">Assumptions!$D$65*(1-Assumptions!$D$7)^(14-1)</f>
        <v>5527.79668799084</v>
      </c>
      <c r="R6" s="30" t="n">
        <f aca="false">Assumptions!$D$65*(1-Assumptions!$D$7)^(15-1)</f>
        <v>5500.15770455089</v>
      </c>
      <c r="S6" s="30" t="n">
        <f aca="false">Assumptions!$D$65*(1-Assumptions!$D$7)^(16-1)</f>
        <v>5472.65691602813</v>
      </c>
      <c r="T6" s="30" t="n">
        <f aca="false">Assumptions!$D$65*(1-Assumptions!$D$7)^(17-1)</f>
        <v>5445.29363144799</v>
      </c>
      <c r="U6" s="30" t="n">
        <f aca="false">Assumptions!$D$65*(1-Assumptions!$D$7)^(18-1)</f>
        <v>5418.06716329075</v>
      </c>
      <c r="V6" s="30" t="n">
        <f aca="false">Assumptions!$D$65*(1-Assumptions!$D$7)^(19-1)</f>
        <v>5390.9768274743</v>
      </c>
      <c r="W6" s="30" t="n">
        <f aca="false">Assumptions!$D$65*(1-Assumptions!$D$7)^(20-1)</f>
        <v>5364.02194333693</v>
      </c>
      <c r="X6" s="30" t="n">
        <f aca="false">Assumptions!$D$65*(1-Assumptions!$D$7)^(21-1)</f>
        <v>5337.20183362024</v>
      </c>
      <c r="Y6" s="30" t="n">
        <f aca="false">Assumptions!$D$65*(1-Assumptions!$D$7)^(22-1)</f>
        <v>5310.51582445214</v>
      </c>
      <c r="Z6" s="30" t="n">
        <f aca="false">Assumptions!$D$65*(1-Assumptions!$D$7)^(23-1)</f>
        <v>5283.96324532988</v>
      </c>
      <c r="AA6" s="30" t="n">
        <f aca="false">Assumptions!$D$65*(1-Assumptions!$D$7)^(24-1)</f>
        <v>5257.54342910323</v>
      </c>
      <c r="AB6" s="30" t="n">
        <f aca="false">Assumptions!$D$65*(1-Assumptions!$D$7)^(25-1)</f>
        <v>5231.25571195772</v>
      </c>
      <c r="AC6" s="30" t="n">
        <f aca="false">Assumptions!$D$65*(1-Assumptions!$D$7)^(26-1)</f>
        <v>5205.09943339793</v>
      </c>
      <c r="AD6" s="30" t="n">
        <f aca="false">Assumptions!$D$65*(1-Assumptions!$D$7)^(27-1)</f>
        <v>5179.07393623094</v>
      </c>
      <c r="AE6" s="30" t="n">
        <f aca="false">Assumptions!$D$65*(1-Assumptions!$D$7)^(28-1)</f>
        <v>5153.17856654978</v>
      </c>
      <c r="AF6" s="30" t="n">
        <f aca="false">Assumptions!$D$65*(1-Assumptions!$D$7)^(29-1)</f>
        <v>5127.41267371703</v>
      </c>
      <c r="AG6" s="30" t="n">
        <f aca="false">Assumptions!$D$65*(1-Assumptions!$D$7)^(30-1)</f>
        <v>5101.77561034845</v>
      </c>
    </row>
    <row r="8" customFormat="false" ht="19.5" hidden="false" customHeight="true" outlineLevel="0" collapsed="false">
      <c r="A8" s="15" t="s">
        <v>203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customFormat="false" ht="15" hidden="false" customHeight="false" outlineLevel="0" collapsed="false">
      <c r="A9" s="35" t="s">
        <v>204</v>
      </c>
      <c r="B9" s="17" t="s">
        <v>205</v>
      </c>
      <c r="C9" s="31" t="n">
        <f aca="false">0</f>
        <v>0</v>
      </c>
      <c r="D9" s="31" t="n">
        <f aca="false">IF(1&lt;=Assumptions!$D$23,D6*Assumptions!$D$21*(1+Assumptions!$D$22)^(1-1),D6*Assumptions!$D$24)</f>
        <v>377600</v>
      </c>
      <c r="E9" s="31" t="n">
        <f aca="false">IF(2&lt;=Assumptions!$D$23,E6*Assumptions!$D$21*(1+Assumptions!$D$22)^(2-1),E6*Assumptions!$D$24)</f>
        <v>383226.24</v>
      </c>
      <c r="F9" s="31" t="n">
        <f aca="false">IF(3&lt;=Assumptions!$D$23,F6*Assumptions!$D$21*(1+Assumptions!$D$22)^(3-1),F6*Assumptions!$D$24)</f>
        <v>388936.310976</v>
      </c>
      <c r="G9" s="31" t="n">
        <f aca="false">IF(4&lt;=Assumptions!$D$23,G6*Assumptions!$D$21*(1+Assumptions!$D$22)^(4-1),G6*Assumptions!$D$24)</f>
        <v>394731.462009543</v>
      </c>
      <c r="H9" s="31" t="n">
        <f aca="false">IF(5&lt;=Assumptions!$D$23,H6*Assumptions!$D$21*(1+Assumptions!$D$22)^(5-1),H6*Assumptions!$D$24)</f>
        <v>400612.960793485</v>
      </c>
      <c r="I9" s="31" t="n">
        <f aca="false">IF(6&lt;=Assumptions!$D$23,I6*Assumptions!$D$21*(1+Assumptions!$D$22)^(6-1),I6*Assumptions!$D$24)</f>
        <v>406582.093909308</v>
      </c>
      <c r="J9" s="31" t="n">
        <f aca="false">IF(7&lt;=Assumptions!$D$23,J6*Assumptions!$D$21*(1+Assumptions!$D$22)^(7-1),J6*Assumptions!$D$24)</f>
        <v>412640.167108556</v>
      </c>
      <c r="K9" s="31" t="n">
        <f aca="false">IF(8&lt;=Assumptions!$D$23,K6*Assumptions!$D$21*(1+Assumptions!$D$22)^(8-1),K6*Assumptions!$D$24)</f>
        <v>418788.505598474</v>
      </c>
      <c r="L9" s="31" t="n">
        <f aca="false">IF(9&lt;=Assumptions!$D$23,L6*Assumptions!$D$21*(1+Assumptions!$D$22)^(9-1),L6*Assumptions!$D$24)</f>
        <v>425028.454331891</v>
      </c>
      <c r="M9" s="31" t="n">
        <f aca="false">IF(10&lt;=Assumptions!$D$23,M6*Assumptions!$D$21*(1+Assumptions!$D$22)^(10-1),M6*Assumptions!$D$24)</f>
        <v>431361.378301436</v>
      </c>
      <c r="N9" s="31" t="n">
        <f aca="false">IF(11&lt;=Assumptions!$D$23,N6*Assumptions!$D$21*(1+Assumptions!$D$22)^(11-1),N6*Assumptions!$D$24)</f>
        <v>437788.662838128</v>
      </c>
      <c r="O9" s="31" t="n">
        <f aca="false">IF(12&lt;=Assumptions!$D$23,O6*Assumptions!$D$21*(1+Assumptions!$D$22)^(12-1),O6*Assumptions!$D$24)</f>
        <v>444311.713914416</v>
      </c>
      <c r="P9" s="31" t="n">
        <f aca="false">IF(13&lt;=Assumptions!$D$23,P6*Assumptions!$D$21*(1+Assumptions!$D$22)^(13-1),P6*Assumptions!$D$24)</f>
        <v>450931.95845174</v>
      </c>
      <c r="Q9" s="31" t="n">
        <f aca="false">IF(14&lt;=Assumptions!$D$23,Q6*Assumptions!$D$21*(1+Assumptions!$D$22)^(14-1),Q6*Assumptions!$D$24)</f>
        <v>457650.844632671</v>
      </c>
      <c r="R9" s="31" t="n">
        <f aca="false">IF(15&lt;=Assumptions!$D$23,R6*Assumptions!$D$21*(1+Assumptions!$D$22)^(15-1),R6*Assumptions!$D$24)</f>
        <v>464469.842217698</v>
      </c>
      <c r="S9" s="31" t="n">
        <f aca="false">IF(16&lt;=Assumptions!$D$23,S6*Assumptions!$D$21*(1+Assumptions!$D$22)^(16-1),S6*Assumptions!$D$24)</f>
        <v>471390.442866742</v>
      </c>
      <c r="T9" s="31" t="n">
        <f aca="false">IF(17&lt;=Assumptions!$D$23,T6*Assumptions!$D$21*(1+Assumptions!$D$22)^(17-1),T6*Assumptions!$D$24)</f>
        <v>478414.160465456</v>
      </c>
      <c r="U9" s="31" t="n">
        <f aca="false">IF(18&lt;=Assumptions!$D$23,U6*Assumptions!$D$21*(1+Assumptions!$D$22)^(18-1),U6*Assumptions!$D$24)</f>
        <v>485542.531456392</v>
      </c>
      <c r="V9" s="31" t="n">
        <f aca="false">IF(19&lt;=Assumptions!$D$23,V6*Assumptions!$D$21*(1+Assumptions!$D$22)^(19-1),V6*Assumptions!$D$24)</f>
        <v>492777.115175092</v>
      </c>
      <c r="W9" s="31" t="n">
        <f aca="false">IF(20&lt;=Assumptions!$D$23,W6*Assumptions!$D$21*(1+Assumptions!$D$22)^(20-1),W6*Assumptions!$D$24)</f>
        <v>500119.494191201</v>
      </c>
      <c r="X9" s="31" t="n">
        <f aca="false">IF(21&lt;=Assumptions!$D$23,X6*Assumptions!$D$21*(1+Assumptions!$D$22)^(21-1),X6*Assumptions!$D$24)</f>
        <v>266860.091681012</v>
      </c>
      <c r="Y9" s="31" t="n">
        <f aca="false">IF(22&lt;=Assumptions!$D$23,Y6*Assumptions!$D$21*(1+Assumptions!$D$22)^(22-1),Y6*Assumptions!$D$24)</f>
        <v>265525.791222607</v>
      </c>
      <c r="Z9" s="31" t="n">
        <f aca="false">IF(23&lt;=Assumptions!$D$23,Z6*Assumptions!$D$21*(1+Assumptions!$D$22)^(23-1),Z6*Assumptions!$D$24)</f>
        <v>264198.162266494</v>
      </c>
      <c r="AA9" s="31" t="n">
        <f aca="false">IF(24&lt;=Assumptions!$D$23,AA6*Assumptions!$D$21*(1+Assumptions!$D$22)^(24-1),AA6*Assumptions!$D$24)</f>
        <v>262877.171455162</v>
      </c>
      <c r="AB9" s="31" t="n">
        <f aca="false">IF(25&lt;=Assumptions!$D$23,AB6*Assumptions!$D$21*(1+Assumptions!$D$22)^(25-1),AB6*Assumptions!$D$24)</f>
        <v>261562.785597886</v>
      </c>
      <c r="AC9" s="31" t="n">
        <f aca="false">IF(26&lt;=Assumptions!$D$23,AC6*Assumptions!$D$21*(1+Assumptions!$D$22)^(26-1),AC6*Assumptions!$D$24)</f>
        <v>260254.971669896</v>
      </c>
      <c r="AD9" s="31" t="n">
        <f aca="false">IF(27&lt;=Assumptions!$D$23,AD6*Assumptions!$D$21*(1+Assumptions!$D$22)^(27-1),AD6*Assumptions!$D$24)</f>
        <v>258953.696811547</v>
      </c>
      <c r="AE9" s="31" t="n">
        <f aca="false">IF(28&lt;=Assumptions!$D$23,AE6*Assumptions!$D$21*(1+Assumptions!$D$22)^(28-1),AE6*Assumptions!$D$24)</f>
        <v>257658.928327489</v>
      </c>
      <c r="AF9" s="31" t="n">
        <f aca="false">IF(29&lt;=Assumptions!$D$23,AF6*Assumptions!$D$21*(1+Assumptions!$D$22)^(29-1),AF6*Assumptions!$D$24)</f>
        <v>256370.633685852</v>
      </c>
      <c r="AG9" s="31" t="n">
        <f aca="false">IF(30&lt;=Assumptions!$D$23,AG6*Assumptions!$D$21*(1+Assumptions!$D$22)^(30-1),AG6*Assumptions!$D$24)</f>
        <v>255088.780517422</v>
      </c>
    </row>
    <row r="10" customFormat="false" ht="15" hidden="false" customHeight="false" outlineLevel="0" collapsed="false">
      <c r="A10" s="35" t="s">
        <v>93</v>
      </c>
      <c r="B10" s="17" t="s">
        <v>205</v>
      </c>
      <c r="C10" s="31" t="n">
        <f aca="false">0</f>
        <v>0</v>
      </c>
      <c r="D10" s="31" t="n">
        <f aca="false">IF(1&lt;=Assumptions!$D$23,D6*Assumptions!$D$27,0)</f>
        <v>17700</v>
      </c>
      <c r="E10" s="31" t="n">
        <f aca="false">IF(2&lt;=Assumptions!$D$23,E6*Assumptions!$D$27,0)</f>
        <v>17611.5</v>
      </c>
      <c r="F10" s="31" t="n">
        <f aca="false">IF(3&lt;=Assumptions!$D$23,F6*Assumptions!$D$27,0)</f>
        <v>17523.4425</v>
      </c>
      <c r="G10" s="31" t="n">
        <f aca="false">IF(4&lt;=Assumptions!$D$23,G6*Assumptions!$D$27,0)</f>
        <v>17435.8252875</v>
      </c>
      <c r="H10" s="31" t="n">
        <f aca="false">IF(5&lt;=Assumptions!$D$23,H6*Assumptions!$D$27,0)</f>
        <v>17348.6461610625</v>
      </c>
      <c r="I10" s="31" t="n">
        <f aca="false">IF(6&lt;=Assumptions!$D$23,I6*Assumptions!$D$27,0)</f>
        <v>17261.9029302572</v>
      </c>
      <c r="J10" s="31" t="n">
        <f aca="false">IF(7&lt;=Assumptions!$D$23,J6*Assumptions!$D$27,0)</f>
        <v>17175.5934156059</v>
      </c>
      <c r="K10" s="31" t="n">
        <f aca="false">IF(8&lt;=Assumptions!$D$23,K6*Assumptions!$D$27,0)</f>
        <v>17089.7154485279</v>
      </c>
      <c r="L10" s="31" t="n">
        <f aca="false">IF(9&lt;=Assumptions!$D$23,L6*Assumptions!$D$27,0)</f>
        <v>17004.2668712852</v>
      </c>
      <c r="M10" s="31" t="n">
        <f aca="false">IF(10&lt;=Assumptions!$D$23,M6*Assumptions!$D$27,0)</f>
        <v>16919.2455369288</v>
      </c>
      <c r="N10" s="31" t="n">
        <f aca="false">IF(11&lt;=Assumptions!$D$23,N6*Assumptions!$D$27,0)</f>
        <v>16834.6493092442</v>
      </c>
      <c r="O10" s="31" t="n">
        <f aca="false">IF(12&lt;=Assumptions!$D$23,O6*Assumptions!$D$27,0)</f>
        <v>16750.4760626979</v>
      </c>
      <c r="P10" s="31" t="n">
        <f aca="false">IF(13&lt;=Assumptions!$D$23,P6*Assumptions!$D$27,0)</f>
        <v>16666.7236823845</v>
      </c>
      <c r="Q10" s="31" t="n">
        <f aca="false">IF(14&lt;=Assumptions!$D$23,Q6*Assumptions!$D$27,0)</f>
        <v>16583.3900639725</v>
      </c>
      <c r="R10" s="31" t="n">
        <f aca="false">IF(15&lt;=Assumptions!$D$23,R6*Assumptions!$D$27,0)</f>
        <v>16500.4731136527</v>
      </c>
      <c r="S10" s="31" t="n">
        <f aca="false">IF(16&lt;=Assumptions!$D$23,S6*Assumptions!$D$27,0)</f>
        <v>16417.9707480844</v>
      </c>
      <c r="T10" s="31" t="n">
        <f aca="false">IF(17&lt;=Assumptions!$D$23,T6*Assumptions!$D$27,0)</f>
        <v>16335.880894344</v>
      </c>
      <c r="U10" s="31" t="n">
        <f aca="false">IF(18&lt;=Assumptions!$D$23,U6*Assumptions!$D$27,0)</f>
        <v>16254.2014898723</v>
      </c>
      <c r="V10" s="31" t="n">
        <f aca="false">IF(19&lt;=Assumptions!$D$23,V6*Assumptions!$D$27,0)</f>
        <v>16172.9304824229</v>
      </c>
      <c r="W10" s="31" t="n">
        <f aca="false">IF(20&lt;=Assumptions!$D$23,W6*Assumptions!$D$27,0)</f>
        <v>16092.0658300108</v>
      </c>
      <c r="X10" s="31" t="n">
        <f aca="false">IF(21&lt;=Assumptions!$D$23,X6*Assumptions!$D$27,0)</f>
        <v>0</v>
      </c>
      <c r="Y10" s="31" t="n">
        <f aca="false">IF(22&lt;=Assumptions!$D$23,Y6*Assumptions!$D$27,0)</f>
        <v>0</v>
      </c>
      <c r="Z10" s="31" t="n">
        <f aca="false">IF(23&lt;=Assumptions!$D$23,Z6*Assumptions!$D$27,0)</f>
        <v>0</v>
      </c>
      <c r="AA10" s="31" t="n">
        <f aca="false">IF(24&lt;=Assumptions!$D$23,AA6*Assumptions!$D$27,0)</f>
        <v>0</v>
      </c>
      <c r="AB10" s="31" t="n">
        <f aca="false">IF(25&lt;=Assumptions!$D$23,AB6*Assumptions!$D$27,0)</f>
        <v>0</v>
      </c>
      <c r="AC10" s="31" t="n">
        <f aca="false">IF(26&lt;=Assumptions!$D$23,AC6*Assumptions!$D$27,0)</f>
        <v>0</v>
      </c>
      <c r="AD10" s="31" t="n">
        <f aca="false">IF(27&lt;=Assumptions!$D$23,AD6*Assumptions!$D$27,0)</f>
        <v>0</v>
      </c>
      <c r="AE10" s="31" t="n">
        <f aca="false">IF(28&lt;=Assumptions!$D$23,AE6*Assumptions!$D$27,0)</f>
        <v>0</v>
      </c>
      <c r="AF10" s="31" t="n">
        <f aca="false">IF(29&lt;=Assumptions!$D$23,AF6*Assumptions!$D$27,0)</f>
        <v>0</v>
      </c>
      <c r="AG10" s="31" t="n">
        <f aca="false">IF(30&lt;=Assumptions!$D$23,AG6*Assumptions!$D$27,0)</f>
        <v>0</v>
      </c>
    </row>
    <row r="11" customFormat="false" ht="15" hidden="false" customHeight="false" outlineLevel="0" collapsed="false">
      <c r="A11" s="35" t="s">
        <v>206</v>
      </c>
      <c r="B11" s="17" t="s">
        <v>205</v>
      </c>
      <c r="C11" s="31" t="n">
        <f aca="false">0</f>
        <v>0</v>
      </c>
      <c r="D11" s="31" t="n">
        <f aca="false">D6*Assumptions!$D$28</f>
        <v>8850</v>
      </c>
      <c r="E11" s="31" t="n">
        <f aca="false">E6*Assumptions!$D$28</f>
        <v>8805.75</v>
      </c>
      <c r="F11" s="31" t="n">
        <f aca="false">F6*Assumptions!$D$28</f>
        <v>8761.72125</v>
      </c>
      <c r="G11" s="31" t="n">
        <f aca="false">G6*Assumptions!$D$28</f>
        <v>8717.91264375</v>
      </c>
      <c r="H11" s="31" t="n">
        <f aca="false">H6*Assumptions!$D$28</f>
        <v>8674.32308053125</v>
      </c>
      <c r="I11" s="31" t="n">
        <f aca="false">I6*Assumptions!$D$28</f>
        <v>8630.95146512859</v>
      </c>
      <c r="J11" s="31" t="n">
        <f aca="false">J6*Assumptions!$D$28</f>
        <v>8587.79670780295</v>
      </c>
      <c r="K11" s="31" t="n">
        <f aca="false">K6*Assumptions!$D$28</f>
        <v>8544.85772426394</v>
      </c>
      <c r="L11" s="31" t="n">
        <f aca="false">L6*Assumptions!$D$28</f>
        <v>8502.13343564262</v>
      </c>
      <c r="M11" s="31" t="n">
        <f aca="false">M6*Assumptions!$D$28</f>
        <v>8459.6227684644</v>
      </c>
      <c r="N11" s="31" t="n">
        <f aca="false">N6*Assumptions!$D$28</f>
        <v>8417.32465462208</v>
      </c>
      <c r="O11" s="31" t="n">
        <f aca="false">O6*Assumptions!$D$28</f>
        <v>8375.23803134897</v>
      </c>
      <c r="P11" s="31" t="n">
        <f aca="false">P6*Assumptions!$D$28</f>
        <v>8333.36184119223</v>
      </c>
      <c r="Q11" s="31" t="n">
        <f aca="false">Q6*Assumptions!$D$28</f>
        <v>8291.69503198626</v>
      </c>
      <c r="R11" s="31" t="n">
        <f aca="false">R6*Assumptions!$D$28</f>
        <v>8250.23655682633</v>
      </c>
      <c r="S11" s="31" t="n">
        <f aca="false">S6*Assumptions!$D$28</f>
        <v>8208.9853740422</v>
      </c>
      <c r="T11" s="31" t="n">
        <f aca="false">T6*Assumptions!$D$28</f>
        <v>8167.94044717199</v>
      </c>
      <c r="U11" s="31" t="n">
        <f aca="false">U6*Assumptions!$D$28</f>
        <v>8127.10074493613</v>
      </c>
      <c r="V11" s="31" t="n">
        <f aca="false">V6*Assumptions!$D$28</f>
        <v>8086.46524121145</v>
      </c>
      <c r="W11" s="31" t="n">
        <f aca="false">W6*Assumptions!$D$28</f>
        <v>8046.03291500539</v>
      </c>
      <c r="X11" s="31" t="n">
        <f aca="false">X6*Assumptions!$D$28</f>
        <v>8005.80275043037</v>
      </c>
      <c r="Y11" s="31" t="n">
        <f aca="false">Y6*Assumptions!$D$28</f>
        <v>7965.77373667821</v>
      </c>
      <c r="Z11" s="31" t="n">
        <f aca="false">Z6*Assumptions!$D$28</f>
        <v>7925.94486799482</v>
      </c>
      <c r="AA11" s="31" t="n">
        <f aca="false">AA6*Assumptions!$D$28</f>
        <v>7886.31514365485</v>
      </c>
      <c r="AB11" s="31" t="n">
        <f aca="false">AB6*Assumptions!$D$28</f>
        <v>7846.88356793657</v>
      </c>
      <c r="AC11" s="31" t="n">
        <f aca="false">AC6*Assumptions!$D$28</f>
        <v>7807.64915009689</v>
      </c>
      <c r="AD11" s="31" t="n">
        <f aca="false">AD6*Assumptions!$D$28</f>
        <v>7768.61090434641</v>
      </c>
      <c r="AE11" s="31" t="n">
        <f aca="false">AE6*Assumptions!$D$28</f>
        <v>7729.76784982467</v>
      </c>
      <c r="AF11" s="31" t="n">
        <f aca="false">AF6*Assumptions!$D$28</f>
        <v>7691.11901057555</v>
      </c>
      <c r="AG11" s="31" t="n">
        <f aca="false">AG6*Assumptions!$D$28</f>
        <v>7652.66341552267</v>
      </c>
    </row>
    <row r="12" customFormat="false" ht="15" hidden="false" customHeight="false" outlineLevel="0" collapsed="false">
      <c r="A12" s="35" t="s">
        <v>97</v>
      </c>
      <c r="B12" s="17" t="s">
        <v>205</v>
      </c>
      <c r="C12" s="31" t="n">
        <f aca="false">0</f>
        <v>0</v>
      </c>
      <c r="D12" s="31" t="n">
        <f aca="false">D6*Assumptions!$D$29</f>
        <v>0</v>
      </c>
      <c r="E12" s="31" t="n">
        <f aca="false">E6*Assumptions!$D$29</f>
        <v>0</v>
      </c>
      <c r="F12" s="31" t="n">
        <f aca="false">F6*Assumptions!$D$29</f>
        <v>0</v>
      </c>
      <c r="G12" s="31" t="n">
        <f aca="false">G6*Assumptions!$D$29</f>
        <v>0</v>
      </c>
      <c r="H12" s="31" t="n">
        <f aca="false">H6*Assumptions!$D$29</f>
        <v>0</v>
      </c>
      <c r="I12" s="31" t="n">
        <f aca="false">I6*Assumptions!$D$29</f>
        <v>0</v>
      </c>
      <c r="J12" s="31" t="n">
        <f aca="false">J6*Assumptions!$D$29</f>
        <v>0</v>
      </c>
      <c r="K12" s="31" t="n">
        <f aca="false">K6*Assumptions!$D$29</f>
        <v>0</v>
      </c>
      <c r="L12" s="31" t="n">
        <f aca="false">L6*Assumptions!$D$29</f>
        <v>0</v>
      </c>
      <c r="M12" s="31" t="n">
        <f aca="false">M6*Assumptions!$D$29</f>
        <v>0</v>
      </c>
      <c r="N12" s="31" t="n">
        <f aca="false">N6*Assumptions!$D$29</f>
        <v>0</v>
      </c>
      <c r="O12" s="31" t="n">
        <f aca="false">O6*Assumptions!$D$29</f>
        <v>0</v>
      </c>
      <c r="P12" s="31" t="n">
        <f aca="false">P6*Assumptions!$D$29</f>
        <v>0</v>
      </c>
      <c r="Q12" s="31" t="n">
        <f aca="false">Q6*Assumptions!$D$29</f>
        <v>0</v>
      </c>
      <c r="R12" s="31" t="n">
        <f aca="false">R6*Assumptions!$D$29</f>
        <v>0</v>
      </c>
      <c r="S12" s="31" t="n">
        <f aca="false">S6*Assumptions!$D$29</f>
        <v>0</v>
      </c>
      <c r="T12" s="31" t="n">
        <f aca="false">T6*Assumptions!$D$29</f>
        <v>0</v>
      </c>
      <c r="U12" s="31" t="n">
        <f aca="false">U6*Assumptions!$D$29</f>
        <v>0</v>
      </c>
      <c r="V12" s="31" t="n">
        <f aca="false">V6*Assumptions!$D$29</f>
        <v>0</v>
      </c>
      <c r="W12" s="31" t="n">
        <f aca="false">W6*Assumptions!$D$29</f>
        <v>0</v>
      </c>
      <c r="X12" s="31" t="n">
        <f aca="false">X6*Assumptions!$D$29</f>
        <v>0</v>
      </c>
      <c r="Y12" s="31" t="n">
        <f aca="false">Y6*Assumptions!$D$29</f>
        <v>0</v>
      </c>
      <c r="Z12" s="31" t="n">
        <f aca="false">Z6*Assumptions!$D$29</f>
        <v>0</v>
      </c>
      <c r="AA12" s="31" t="n">
        <f aca="false">AA6*Assumptions!$D$29</f>
        <v>0</v>
      </c>
      <c r="AB12" s="31" t="n">
        <f aca="false">AB6*Assumptions!$D$29</f>
        <v>0</v>
      </c>
      <c r="AC12" s="31" t="n">
        <f aca="false">AC6*Assumptions!$D$29</f>
        <v>0</v>
      </c>
      <c r="AD12" s="31" t="n">
        <f aca="false">AD6*Assumptions!$D$29</f>
        <v>0</v>
      </c>
      <c r="AE12" s="31" t="n">
        <f aca="false">AE6*Assumptions!$D$29</f>
        <v>0</v>
      </c>
      <c r="AF12" s="31" t="n">
        <f aca="false">AF6*Assumptions!$D$29</f>
        <v>0</v>
      </c>
      <c r="AG12" s="31" t="n">
        <f aca="false">AG6*Assumptions!$D$29</f>
        <v>0</v>
      </c>
    </row>
    <row r="13" customFormat="false" ht="15" hidden="false" customHeight="false" outlineLevel="0" collapsed="false">
      <c r="A13" s="35" t="s">
        <v>99</v>
      </c>
      <c r="B13" s="17" t="s">
        <v>205</v>
      </c>
      <c r="C13" s="31" t="n">
        <f aca="false">0</f>
        <v>0</v>
      </c>
      <c r="D13" s="31" t="n">
        <f aca="false">D6*Assumptions!$D$30</f>
        <v>0</v>
      </c>
      <c r="E13" s="31" t="n">
        <f aca="false">E6*Assumptions!$D$30</f>
        <v>0</v>
      </c>
      <c r="F13" s="31" t="n">
        <f aca="false">F6*Assumptions!$D$30</f>
        <v>0</v>
      </c>
      <c r="G13" s="31" t="n">
        <f aca="false">G6*Assumptions!$D$30</f>
        <v>0</v>
      </c>
      <c r="H13" s="31" t="n">
        <f aca="false">H6*Assumptions!$D$30</f>
        <v>0</v>
      </c>
      <c r="I13" s="31" t="n">
        <f aca="false">I6*Assumptions!$D$30</f>
        <v>0</v>
      </c>
      <c r="J13" s="31" t="n">
        <f aca="false">J6*Assumptions!$D$30</f>
        <v>0</v>
      </c>
      <c r="K13" s="31" t="n">
        <f aca="false">K6*Assumptions!$D$30</f>
        <v>0</v>
      </c>
      <c r="L13" s="31" t="n">
        <f aca="false">L6*Assumptions!$D$30</f>
        <v>0</v>
      </c>
      <c r="M13" s="31" t="n">
        <f aca="false">M6*Assumptions!$D$30</f>
        <v>0</v>
      </c>
      <c r="N13" s="31" t="n">
        <f aca="false">N6*Assumptions!$D$30</f>
        <v>0</v>
      </c>
      <c r="O13" s="31" t="n">
        <f aca="false">O6*Assumptions!$D$30</f>
        <v>0</v>
      </c>
      <c r="P13" s="31" t="n">
        <f aca="false">P6*Assumptions!$D$30</f>
        <v>0</v>
      </c>
      <c r="Q13" s="31" t="n">
        <f aca="false">Q6*Assumptions!$D$30</f>
        <v>0</v>
      </c>
      <c r="R13" s="31" t="n">
        <f aca="false">R6*Assumptions!$D$30</f>
        <v>0</v>
      </c>
      <c r="S13" s="31" t="n">
        <f aca="false">S6*Assumptions!$D$30</f>
        <v>0</v>
      </c>
      <c r="T13" s="31" t="n">
        <f aca="false">T6*Assumptions!$D$30</f>
        <v>0</v>
      </c>
      <c r="U13" s="31" t="n">
        <f aca="false">U6*Assumptions!$D$30</f>
        <v>0</v>
      </c>
      <c r="V13" s="31" t="n">
        <f aca="false">V6*Assumptions!$D$30</f>
        <v>0</v>
      </c>
      <c r="W13" s="31" t="n">
        <f aca="false">W6*Assumptions!$D$30</f>
        <v>0</v>
      </c>
      <c r="X13" s="31" t="n">
        <f aca="false">X6*Assumptions!$D$30</f>
        <v>0</v>
      </c>
      <c r="Y13" s="31" t="n">
        <f aca="false">Y6*Assumptions!$D$30</f>
        <v>0</v>
      </c>
      <c r="Z13" s="31" t="n">
        <f aca="false">Z6*Assumptions!$D$30</f>
        <v>0</v>
      </c>
      <c r="AA13" s="31" t="n">
        <f aca="false">AA6*Assumptions!$D$30</f>
        <v>0</v>
      </c>
      <c r="AB13" s="31" t="n">
        <f aca="false">AB6*Assumptions!$D$30</f>
        <v>0</v>
      </c>
      <c r="AC13" s="31" t="n">
        <f aca="false">AC6*Assumptions!$D$30</f>
        <v>0</v>
      </c>
      <c r="AD13" s="31" t="n">
        <f aca="false">AD6*Assumptions!$D$30</f>
        <v>0</v>
      </c>
      <c r="AE13" s="31" t="n">
        <f aca="false">AE6*Assumptions!$D$30</f>
        <v>0</v>
      </c>
      <c r="AF13" s="31" t="n">
        <f aca="false">AF6*Assumptions!$D$30</f>
        <v>0</v>
      </c>
      <c r="AG13" s="31" t="n">
        <f aca="false">AG6*Assumptions!$D$30</f>
        <v>0</v>
      </c>
    </row>
    <row r="14" customFormat="false" ht="15" hidden="false" customHeight="false" outlineLevel="0" collapsed="false">
      <c r="A14" s="35" t="s">
        <v>207</v>
      </c>
      <c r="B14" s="17" t="s">
        <v>205</v>
      </c>
      <c r="C14" s="31" t="n">
        <f aca="false">0</f>
        <v>0</v>
      </c>
      <c r="D14" s="31" t="n">
        <f aca="false">Assumptions!$D$31</f>
        <v>8000</v>
      </c>
      <c r="E14" s="31" t="n">
        <f aca="false">Assumptions!$D$31</f>
        <v>8000</v>
      </c>
      <c r="F14" s="31" t="n">
        <f aca="false">Assumptions!$D$31</f>
        <v>8000</v>
      </c>
      <c r="G14" s="31" t="n">
        <f aca="false">Assumptions!$D$31</f>
        <v>8000</v>
      </c>
      <c r="H14" s="31" t="n">
        <f aca="false">Assumptions!$D$31</f>
        <v>8000</v>
      </c>
      <c r="I14" s="31" t="n">
        <f aca="false">Assumptions!$D$31</f>
        <v>8000</v>
      </c>
      <c r="J14" s="31" t="n">
        <f aca="false">Assumptions!$D$31</f>
        <v>8000</v>
      </c>
      <c r="K14" s="31" t="n">
        <f aca="false">Assumptions!$D$31</f>
        <v>8000</v>
      </c>
      <c r="L14" s="31" t="n">
        <f aca="false">Assumptions!$D$31</f>
        <v>8000</v>
      </c>
      <c r="M14" s="31" t="n">
        <f aca="false">Assumptions!$D$31</f>
        <v>8000</v>
      </c>
      <c r="N14" s="31" t="n">
        <f aca="false">Assumptions!$D$31</f>
        <v>8000</v>
      </c>
      <c r="O14" s="31" t="n">
        <f aca="false">Assumptions!$D$31</f>
        <v>8000</v>
      </c>
      <c r="P14" s="31" t="n">
        <f aca="false">Assumptions!$D$31</f>
        <v>8000</v>
      </c>
      <c r="Q14" s="31" t="n">
        <f aca="false">Assumptions!$D$31</f>
        <v>8000</v>
      </c>
      <c r="R14" s="31" t="n">
        <f aca="false">Assumptions!$D$31</f>
        <v>8000</v>
      </c>
      <c r="S14" s="31" t="n">
        <f aca="false">Assumptions!$D$31</f>
        <v>8000</v>
      </c>
      <c r="T14" s="31" t="n">
        <f aca="false">Assumptions!$D$31</f>
        <v>8000</v>
      </c>
      <c r="U14" s="31" t="n">
        <f aca="false">Assumptions!$D$31</f>
        <v>8000</v>
      </c>
      <c r="V14" s="31" t="n">
        <f aca="false">Assumptions!$D$31</f>
        <v>8000</v>
      </c>
      <c r="W14" s="31" t="n">
        <f aca="false">Assumptions!$D$31</f>
        <v>8000</v>
      </c>
      <c r="X14" s="31" t="n">
        <f aca="false">Assumptions!$D$31</f>
        <v>8000</v>
      </c>
      <c r="Y14" s="31" t="n">
        <f aca="false">Assumptions!$D$31</f>
        <v>8000</v>
      </c>
      <c r="Z14" s="31" t="n">
        <f aca="false">Assumptions!$D$31</f>
        <v>8000</v>
      </c>
      <c r="AA14" s="31" t="n">
        <f aca="false">Assumptions!$D$31</f>
        <v>8000</v>
      </c>
      <c r="AB14" s="31" t="n">
        <f aca="false">Assumptions!$D$31</f>
        <v>8000</v>
      </c>
      <c r="AC14" s="31" t="n">
        <f aca="false">Assumptions!$D$31</f>
        <v>8000</v>
      </c>
      <c r="AD14" s="31" t="n">
        <f aca="false">Assumptions!$D$31</f>
        <v>8000</v>
      </c>
      <c r="AE14" s="31" t="n">
        <f aca="false">Assumptions!$D$31</f>
        <v>8000</v>
      </c>
      <c r="AF14" s="31" t="n">
        <f aca="false">Assumptions!$D$31</f>
        <v>8000</v>
      </c>
      <c r="AG14" s="31" t="n">
        <f aca="false">Assumptions!$D$31</f>
        <v>8000</v>
      </c>
    </row>
    <row r="15" customFormat="false" ht="15" hidden="false" customHeight="false" outlineLevel="0" collapsed="false">
      <c r="A15" s="35" t="s">
        <v>208</v>
      </c>
      <c r="B15" s="17" t="s">
        <v>205</v>
      </c>
      <c r="C15" s="31" t="n">
        <f aca="false">0</f>
        <v>0</v>
      </c>
      <c r="D15" s="31" t="n">
        <f aca="false">0</f>
        <v>0</v>
      </c>
      <c r="E15" s="31" t="n">
        <f aca="false">0</f>
        <v>0</v>
      </c>
      <c r="F15" s="31" t="n">
        <f aca="false">0</f>
        <v>0</v>
      </c>
      <c r="G15" s="31" t="n">
        <f aca="false">0</f>
        <v>0</v>
      </c>
      <c r="H15" s="31" t="n">
        <f aca="false">0</f>
        <v>0</v>
      </c>
      <c r="I15" s="31" t="n">
        <f aca="false">0</f>
        <v>0</v>
      </c>
      <c r="J15" s="31" t="n">
        <f aca="false">0</f>
        <v>0</v>
      </c>
      <c r="K15" s="31" t="n">
        <f aca="false">0</f>
        <v>0</v>
      </c>
      <c r="L15" s="31" t="n">
        <f aca="false">0</f>
        <v>0</v>
      </c>
      <c r="M15" s="31" t="n">
        <f aca="false">0</f>
        <v>0</v>
      </c>
      <c r="N15" s="31" t="n">
        <f aca="false">0</f>
        <v>0</v>
      </c>
      <c r="O15" s="31" t="n">
        <f aca="false">0</f>
        <v>0</v>
      </c>
      <c r="P15" s="31" t="n">
        <f aca="false">0</f>
        <v>0</v>
      </c>
      <c r="Q15" s="31" t="n">
        <f aca="false">0</f>
        <v>0</v>
      </c>
      <c r="R15" s="31" t="n">
        <f aca="false">0</f>
        <v>0</v>
      </c>
      <c r="S15" s="31" t="n">
        <f aca="false">0</f>
        <v>0</v>
      </c>
      <c r="T15" s="31" t="n">
        <f aca="false">0</f>
        <v>0</v>
      </c>
      <c r="U15" s="31" t="n">
        <f aca="false">0</f>
        <v>0</v>
      </c>
      <c r="V15" s="31" t="n">
        <f aca="false">0</f>
        <v>0</v>
      </c>
      <c r="W15" s="31" t="n">
        <f aca="false">0</f>
        <v>0</v>
      </c>
      <c r="X15" s="31" t="n">
        <f aca="false">0</f>
        <v>0</v>
      </c>
      <c r="Y15" s="31" t="n">
        <f aca="false">0</f>
        <v>0</v>
      </c>
      <c r="Z15" s="31" t="n">
        <f aca="false">0</f>
        <v>0</v>
      </c>
      <c r="AA15" s="31" t="n">
        <f aca="false">0</f>
        <v>0</v>
      </c>
      <c r="AB15" s="31" t="n">
        <f aca="false">0</f>
        <v>0</v>
      </c>
      <c r="AC15" s="31" t="n">
        <f aca="false">0</f>
        <v>0</v>
      </c>
      <c r="AD15" s="31" t="n">
        <f aca="false">0</f>
        <v>0</v>
      </c>
      <c r="AE15" s="31" t="n">
        <f aca="false">0</f>
        <v>0</v>
      </c>
      <c r="AF15" s="31" t="n">
        <f aca="false">0</f>
        <v>0</v>
      </c>
      <c r="AG15" s="31" t="n">
        <f aca="false">Assumptions!$D$34*Assumptions!$D$5</f>
        <v>60000</v>
      </c>
    </row>
    <row r="16" customFormat="false" ht="15" hidden="false" customHeight="false" outlineLevel="0" collapsed="false">
      <c r="A16" s="36" t="s">
        <v>209</v>
      </c>
      <c r="B16" s="17" t="s">
        <v>205</v>
      </c>
      <c r="C16" s="37" t="n">
        <f aca="false">SUM(C9:C15)</f>
        <v>0</v>
      </c>
      <c r="D16" s="37" t="n">
        <f aca="false">SUM(D9:D15)</f>
        <v>412150</v>
      </c>
      <c r="E16" s="37" t="n">
        <f aca="false">SUM(E9:E15)</f>
        <v>417643.49</v>
      </c>
      <c r="F16" s="37" t="n">
        <f aca="false">SUM(F9:F15)</f>
        <v>423221.474726</v>
      </c>
      <c r="G16" s="37" t="n">
        <f aca="false">SUM(G9:G15)</f>
        <v>428885.199940793</v>
      </c>
      <c r="H16" s="37" t="n">
        <f aca="false">SUM(H9:H15)</f>
        <v>434635.930035078</v>
      </c>
      <c r="I16" s="37" t="n">
        <f aca="false">SUM(I9:I15)</f>
        <v>440474.948304693</v>
      </c>
      <c r="J16" s="37" t="n">
        <f aca="false">SUM(J9:J15)</f>
        <v>446403.557231965</v>
      </c>
      <c r="K16" s="37" t="n">
        <f aca="false">SUM(K9:K15)</f>
        <v>452423.078771265</v>
      </c>
      <c r="L16" s="37" t="n">
        <f aca="false">SUM(L9:L15)</f>
        <v>458534.854638819</v>
      </c>
      <c r="M16" s="37" t="n">
        <f aca="false">SUM(M9:M15)</f>
        <v>464740.246606829</v>
      </c>
      <c r="N16" s="37" t="n">
        <f aca="false">SUM(N9:N15)</f>
        <v>471040.636801994</v>
      </c>
      <c r="O16" s="37" t="n">
        <f aca="false">SUM(O9:O15)</f>
        <v>477437.428008463</v>
      </c>
      <c r="P16" s="37" t="n">
        <f aca="false">SUM(P9:P15)</f>
        <v>483932.043975317</v>
      </c>
      <c r="Q16" s="37" t="n">
        <f aca="false">SUM(Q9:Q15)</f>
        <v>490525.92972863</v>
      </c>
      <c r="R16" s="37" t="n">
        <f aca="false">SUM(R9:R15)</f>
        <v>497220.551888177</v>
      </c>
      <c r="S16" s="37" t="n">
        <f aca="false">SUM(S9:S15)</f>
        <v>504017.398988869</v>
      </c>
      <c r="T16" s="37" t="n">
        <f aca="false">SUM(T9:T15)</f>
        <v>510917.981806972</v>
      </c>
      <c r="U16" s="37" t="n">
        <f aca="false">SUM(U9:U15)</f>
        <v>517923.8336912</v>
      </c>
      <c r="V16" s="37" t="n">
        <f aca="false">SUM(V9:V15)</f>
        <v>525036.510898726</v>
      </c>
      <c r="W16" s="37" t="n">
        <f aca="false">SUM(W9:W15)</f>
        <v>532257.592936217</v>
      </c>
      <c r="X16" s="37" t="n">
        <f aca="false">SUM(X9:X15)</f>
        <v>282865.894431443</v>
      </c>
      <c r="Y16" s="37" t="n">
        <f aca="false">SUM(Y9:Y15)</f>
        <v>281491.564959285</v>
      </c>
      <c r="Z16" s="37" t="n">
        <f aca="false">SUM(Z9:Z15)</f>
        <v>280124.107134489</v>
      </c>
      <c r="AA16" s="37" t="n">
        <f aca="false">SUM(AA9:AA15)</f>
        <v>278763.486598816</v>
      </c>
      <c r="AB16" s="37" t="n">
        <f aca="false">SUM(AB9:AB15)</f>
        <v>277409.669165822</v>
      </c>
      <c r="AC16" s="37" t="n">
        <f aca="false">SUM(AC9:AC15)</f>
        <v>276062.620819993</v>
      </c>
      <c r="AD16" s="37" t="n">
        <f aca="false">SUM(AD9:AD15)</f>
        <v>274722.307715893</v>
      </c>
      <c r="AE16" s="37" t="n">
        <f aca="false">SUM(AE9:AE15)</f>
        <v>273388.696177314</v>
      </c>
      <c r="AF16" s="37" t="n">
        <f aca="false">SUM(AF9:AF15)</f>
        <v>272061.752696427</v>
      </c>
      <c r="AG16" s="37" t="n">
        <f aca="false">SUM(AG9:AG15)</f>
        <v>330741.443932945</v>
      </c>
    </row>
    <row r="18" customFormat="false" ht="19.5" hidden="false" customHeight="true" outlineLevel="0" collapsed="false">
      <c r="A18" s="15" t="s">
        <v>110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customFormat="false" ht="15" hidden="false" customHeight="false" outlineLevel="0" collapsed="false">
      <c r="A19" s="35" t="s">
        <v>111</v>
      </c>
      <c r="B19" s="17" t="s">
        <v>205</v>
      </c>
      <c r="C19" s="31" t="n">
        <f aca="false">0</f>
        <v>0</v>
      </c>
      <c r="D19" s="31" t="n">
        <f aca="false">-Assumptions!$D$38*Assumptions!$D$5*(1+Assumptions!$D$39)^(1-1)</f>
        <v>-65000</v>
      </c>
      <c r="E19" s="31" t="n">
        <f aca="false">-Assumptions!$D$38*Assumptions!$D$5*(1+Assumptions!$D$39)^(2-1)</f>
        <v>-66300</v>
      </c>
      <c r="F19" s="31" t="n">
        <f aca="false">-Assumptions!$D$38*Assumptions!$D$5*(1+Assumptions!$D$39)^(3-1)</f>
        <v>-67626</v>
      </c>
      <c r="G19" s="31" t="n">
        <f aca="false">-Assumptions!$D$38*Assumptions!$D$5*(1+Assumptions!$D$39)^(4-1)</f>
        <v>-68978.52</v>
      </c>
      <c r="H19" s="31" t="n">
        <f aca="false">-Assumptions!$D$38*Assumptions!$D$5*(1+Assumptions!$D$39)^(5-1)</f>
        <v>-70358.0904</v>
      </c>
      <c r="I19" s="31" t="n">
        <f aca="false">-Assumptions!$D$38*Assumptions!$D$5*(1+Assumptions!$D$39)^(6-1)</f>
        <v>-71765.252208</v>
      </c>
      <c r="J19" s="31" t="n">
        <f aca="false">-Assumptions!$D$38*Assumptions!$D$5*(1+Assumptions!$D$39)^(7-1)</f>
        <v>-73200.55725216</v>
      </c>
      <c r="K19" s="31" t="n">
        <f aca="false">-Assumptions!$D$38*Assumptions!$D$5*(1+Assumptions!$D$39)^(8-1)</f>
        <v>-74664.5683972032</v>
      </c>
      <c r="L19" s="31" t="n">
        <f aca="false">-Assumptions!$D$38*Assumptions!$D$5*(1+Assumptions!$D$39)^(9-1)</f>
        <v>-76157.8597651473</v>
      </c>
      <c r="M19" s="31" t="n">
        <f aca="false">-Assumptions!$D$38*Assumptions!$D$5*(1+Assumptions!$D$39)^(10-1)</f>
        <v>-77681.0169604502</v>
      </c>
      <c r="N19" s="31" t="n">
        <f aca="false">-Assumptions!$D$38*Assumptions!$D$5*(1+Assumptions!$D$39)^(11-1)</f>
        <v>-79234.6372996592</v>
      </c>
      <c r="O19" s="31" t="n">
        <f aca="false">-Assumptions!$D$38*Assumptions!$D$5*(1+Assumptions!$D$39)^(12-1)</f>
        <v>-80819.3300456524</v>
      </c>
      <c r="P19" s="31" t="n">
        <f aca="false">-Assumptions!$D$38*Assumptions!$D$5*(1+Assumptions!$D$39)^(13-1)</f>
        <v>-82435.7166465655</v>
      </c>
      <c r="Q19" s="31" t="n">
        <f aca="false">-Assumptions!$D$38*Assumptions!$D$5*(1+Assumptions!$D$39)^(14-1)</f>
        <v>-84084.4309794968</v>
      </c>
      <c r="R19" s="31" t="n">
        <f aca="false">-Assumptions!$D$38*Assumptions!$D$5*(1+Assumptions!$D$39)^(15-1)</f>
        <v>-85766.1195990867</v>
      </c>
      <c r="S19" s="31" t="n">
        <f aca="false">-Assumptions!$D$38*Assumptions!$D$5*(1+Assumptions!$D$39)^(16-1)</f>
        <v>-87481.4419910684</v>
      </c>
      <c r="T19" s="31" t="n">
        <f aca="false">-Assumptions!$D$38*Assumptions!$D$5*(1+Assumptions!$D$39)^(17-1)</f>
        <v>-89231.0708308898</v>
      </c>
      <c r="U19" s="31" t="n">
        <f aca="false">-Assumptions!$D$38*Assumptions!$D$5*(1+Assumptions!$D$39)^(18-1)</f>
        <v>-91015.6922475076</v>
      </c>
      <c r="V19" s="31" t="n">
        <f aca="false">-Assumptions!$D$38*Assumptions!$D$5*(1+Assumptions!$D$39)^(19-1)</f>
        <v>-92836.0060924578</v>
      </c>
      <c r="W19" s="31" t="n">
        <f aca="false">-Assumptions!$D$38*Assumptions!$D$5*(1+Assumptions!$D$39)^(20-1)</f>
        <v>-94692.7262143069</v>
      </c>
      <c r="X19" s="31" t="n">
        <f aca="false">-Assumptions!$D$38*Assumptions!$D$5*(1+Assumptions!$D$39)^(21-1)</f>
        <v>-96586.5807385931</v>
      </c>
      <c r="Y19" s="31" t="n">
        <f aca="false">-Assumptions!$D$38*Assumptions!$D$5*(1+Assumptions!$D$39)^(22-1)</f>
        <v>-98518.3123533649</v>
      </c>
      <c r="Z19" s="31" t="n">
        <f aca="false">-Assumptions!$D$38*Assumptions!$D$5*(1+Assumptions!$D$39)^(23-1)</f>
        <v>-100488.678600432</v>
      </c>
      <c r="AA19" s="31" t="n">
        <f aca="false">-Assumptions!$D$38*Assumptions!$D$5*(1+Assumptions!$D$39)^(24-1)</f>
        <v>-102498.452172441</v>
      </c>
      <c r="AB19" s="31" t="n">
        <f aca="false">-Assumptions!$D$38*Assumptions!$D$5*(1+Assumptions!$D$39)^(25-1)</f>
        <v>-104548.42121589</v>
      </c>
      <c r="AC19" s="31" t="n">
        <f aca="false">-Assumptions!$D$38*Assumptions!$D$5*(1+Assumptions!$D$39)^(26-1)</f>
        <v>-106639.389640207</v>
      </c>
      <c r="AD19" s="31" t="n">
        <f aca="false">-Assumptions!$D$38*Assumptions!$D$5*(1+Assumptions!$D$39)^(27-1)</f>
        <v>-108772.177433012</v>
      </c>
      <c r="AE19" s="31" t="n">
        <f aca="false">-Assumptions!$D$38*Assumptions!$D$5*(1+Assumptions!$D$39)^(28-1)</f>
        <v>-110947.620981672</v>
      </c>
      <c r="AF19" s="31" t="n">
        <f aca="false">-Assumptions!$D$38*Assumptions!$D$5*(1+Assumptions!$D$39)^(29-1)</f>
        <v>-113166.573401305</v>
      </c>
      <c r="AG19" s="31" t="n">
        <f aca="false">-Assumptions!$D$38*Assumptions!$D$5*(1+Assumptions!$D$39)^(30-1)</f>
        <v>-115429.904869331</v>
      </c>
    </row>
    <row r="20" customFormat="false" ht="15" hidden="false" customHeight="false" outlineLevel="0" collapsed="false">
      <c r="A20" s="35" t="s">
        <v>116</v>
      </c>
      <c r="B20" s="17" t="s">
        <v>205</v>
      </c>
      <c r="C20" s="31" t="n">
        <f aca="false">0</f>
        <v>0</v>
      </c>
      <c r="D20" s="31" t="n">
        <f aca="false">-Assumptions!$D$40*Assumptions!$D$9*(1+Assumptions!$D$39)^(1-1)</f>
        <v>-14400</v>
      </c>
      <c r="E20" s="31" t="n">
        <f aca="false">-Assumptions!$D$40*Assumptions!$D$9*(1+Assumptions!$D$39)^(2-1)</f>
        <v>-14688</v>
      </c>
      <c r="F20" s="31" t="n">
        <f aca="false">-Assumptions!$D$40*Assumptions!$D$9*(1+Assumptions!$D$39)^(3-1)</f>
        <v>-14981.76</v>
      </c>
      <c r="G20" s="31" t="n">
        <f aca="false">-Assumptions!$D$40*Assumptions!$D$9*(1+Assumptions!$D$39)^(4-1)</f>
        <v>-15281.3952</v>
      </c>
      <c r="H20" s="31" t="n">
        <f aca="false">-Assumptions!$D$40*Assumptions!$D$9*(1+Assumptions!$D$39)^(5-1)</f>
        <v>-15587.023104</v>
      </c>
      <c r="I20" s="31" t="n">
        <f aca="false">-Assumptions!$D$40*Assumptions!$D$9*(1+Assumptions!$D$39)^(6-1)</f>
        <v>-15898.76356608</v>
      </c>
      <c r="J20" s="31" t="n">
        <f aca="false">-Assumptions!$D$40*Assumptions!$D$9*(1+Assumptions!$D$39)^(7-1)</f>
        <v>-16216.7388374016</v>
      </c>
      <c r="K20" s="31" t="n">
        <f aca="false">-Assumptions!$D$40*Assumptions!$D$9*(1+Assumptions!$D$39)^(8-1)</f>
        <v>-16541.0736141496</v>
      </c>
      <c r="L20" s="31" t="n">
        <f aca="false">-Assumptions!$D$40*Assumptions!$D$9*(1+Assumptions!$D$39)^(9-1)</f>
        <v>-16871.8950864326</v>
      </c>
      <c r="M20" s="31" t="n">
        <f aca="false">-Assumptions!$D$40*Assumptions!$D$9*(1+Assumptions!$D$39)^(10-1)</f>
        <v>-17209.3329881613</v>
      </c>
      <c r="N20" s="31" t="n">
        <f aca="false">-Assumptions!$D$40*Assumptions!$D$9*(1+Assumptions!$D$39)^(11-1)</f>
        <v>-17553.5196479245</v>
      </c>
      <c r="O20" s="31" t="n">
        <f aca="false">-Assumptions!$D$40*Assumptions!$D$9*(1+Assumptions!$D$39)^(12-1)</f>
        <v>-17904.590040883</v>
      </c>
      <c r="P20" s="31" t="n">
        <f aca="false">-Assumptions!$D$40*Assumptions!$D$9*(1+Assumptions!$D$39)^(13-1)</f>
        <v>-18262.6818417007</v>
      </c>
      <c r="Q20" s="31" t="n">
        <f aca="false">-Assumptions!$D$40*Assumptions!$D$9*(1+Assumptions!$D$39)^(14-1)</f>
        <v>-18627.9354785347</v>
      </c>
      <c r="R20" s="31" t="n">
        <f aca="false">-Assumptions!$D$40*Assumptions!$D$9*(1+Assumptions!$D$39)^(15-1)</f>
        <v>-19000.4941881054</v>
      </c>
      <c r="S20" s="31" t="n">
        <f aca="false">-Assumptions!$D$40*Assumptions!$D$9*(1+Assumptions!$D$39)^(16-1)</f>
        <v>-19380.5040718675</v>
      </c>
      <c r="T20" s="31" t="n">
        <f aca="false">-Assumptions!$D$40*Assumptions!$D$9*(1+Assumptions!$D$39)^(17-1)</f>
        <v>-19768.1141533048</v>
      </c>
      <c r="U20" s="31" t="n">
        <f aca="false">-Assumptions!$D$40*Assumptions!$D$9*(1+Assumptions!$D$39)^(18-1)</f>
        <v>-20163.4764363709</v>
      </c>
      <c r="V20" s="31" t="n">
        <f aca="false">-Assumptions!$D$40*Assumptions!$D$9*(1+Assumptions!$D$39)^(19-1)</f>
        <v>-20566.7459650983</v>
      </c>
      <c r="W20" s="31" t="n">
        <f aca="false">-Assumptions!$D$40*Assumptions!$D$9*(1+Assumptions!$D$39)^(20-1)</f>
        <v>-20978.0808844003</v>
      </c>
      <c r="X20" s="31" t="n">
        <f aca="false">-Assumptions!$D$40*Assumptions!$D$9*(1+Assumptions!$D$39)^(21-1)</f>
        <v>-21397.6425020883</v>
      </c>
      <c r="Y20" s="31" t="n">
        <f aca="false">-Assumptions!$D$40*Assumptions!$D$9*(1+Assumptions!$D$39)^(22-1)</f>
        <v>-21825.5953521301</v>
      </c>
      <c r="Z20" s="31" t="n">
        <f aca="false">-Assumptions!$D$40*Assumptions!$D$9*(1+Assumptions!$D$39)^(23-1)</f>
        <v>-22262.1072591727</v>
      </c>
      <c r="AA20" s="31" t="n">
        <f aca="false">-Assumptions!$D$40*Assumptions!$D$9*(1+Assumptions!$D$39)^(24-1)</f>
        <v>-22707.3494043561</v>
      </c>
      <c r="AB20" s="31" t="n">
        <f aca="false">-Assumptions!$D$40*Assumptions!$D$9*(1+Assumptions!$D$39)^(25-1)</f>
        <v>-23161.4963924433</v>
      </c>
      <c r="AC20" s="31" t="n">
        <f aca="false">-Assumptions!$D$40*Assumptions!$D$9*(1+Assumptions!$D$39)^(26-1)</f>
        <v>-23624.7263202921</v>
      </c>
      <c r="AD20" s="31" t="n">
        <f aca="false">-Assumptions!$D$40*Assumptions!$D$9*(1+Assumptions!$D$39)^(27-1)</f>
        <v>-24097.220846698</v>
      </c>
      <c r="AE20" s="31" t="n">
        <f aca="false">-Assumptions!$D$40*Assumptions!$D$9*(1+Assumptions!$D$39)^(28-1)</f>
        <v>-24579.1652636319</v>
      </c>
      <c r="AF20" s="31" t="n">
        <f aca="false">-Assumptions!$D$40*Assumptions!$D$9*(1+Assumptions!$D$39)^(29-1)</f>
        <v>-25070.7485689046</v>
      </c>
      <c r="AG20" s="31" t="n">
        <f aca="false">-Assumptions!$D$40*Assumptions!$D$9*(1+Assumptions!$D$39)^(30-1)</f>
        <v>-25572.1635402827</v>
      </c>
    </row>
    <row r="21" customFormat="false" ht="15" hidden="false" customHeight="false" outlineLevel="0" collapsed="false">
      <c r="A21" s="35" t="s">
        <v>119</v>
      </c>
      <c r="B21" s="17" t="s">
        <v>205</v>
      </c>
      <c r="C21" s="31" t="n">
        <f aca="false">0</f>
        <v>0</v>
      </c>
      <c r="D21" s="31" t="n">
        <f aca="false">-Assumptions!$D$41*Assumptions!$D$64</f>
        <v>-16120</v>
      </c>
      <c r="E21" s="31" t="n">
        <f aca="false">-Assumptions!$D$41*Assumptions!$D$64</f>
        <v>-16120</v>
      </c>
      <c r="F21" s="31" t="n">
        <f aca="false">-Assumptions!$D$41*Assumptions!$D$64</f>
        <v>-16120</v>
      </c>
      <c r="G21" s="31" t="n">
        <f aca="false">-Assumptions!$D$41*Assumptions!$D$64</f>
        <v>-16120</v>
      </c>
      <c r="H21" s="31" t="n">
        <f aca="false">-Assumptions!$D$41*Assumptions!$D$64</f>
        <v>-16120</v>
      </c>
      <c r="I21" s="31" t="n">
        <f aca="false">-Assumptions!$D$41*Assumptions!$D$64</f>
        <v>-16120</v>
      </c>
      <c r="J21" s="31" t="n">
        <f aca="false">-Assumptions!$D$41*Assumptions!$D$64</f>
        <v>-16120</v>
      </c>
      <c r="K21" s="31" t="n">
        <f aca="false">-Assumptions!$D$41*Assumptions!$D$64</f>
        <v>-16120</v>
      </c>
      <c r="L21" s="31" t="n">
        <f aca="false">-Assumptions!$D$41*Assumptions!$D$64</f>
        <v>-16120</v>
      </c>
      <c r="M21" s="31" t="n">
        <f aca="false">-Assumptions!$D$41*Assumptions!$D$64</f>
        <v>-16120</v>
      </c>
      <c r="N21" s="31" t="n">
        <f aca="false">-Assumptions!$D$41*Assumptions!$D$64</f>
        <v>-16120</v>
      </c>
      <c r="O21" s="31" t="n">
        <f aca="false">-Assumptions!$D$41*Assumptions!$D$64</f>
        <v>-16120</v>
      </c>
      <c r="P21" s="31" t="n">
        <f aca="false">-Assumptions!$D$41*Assumptions!$D$64</f>
        <v>-16120</v>
      </c>
      <c r="Q21" s="31" t="n">
        <f aca="false">-Assumptions!$D$41*Assumptions!$D$64</f>
        <v>-16120</v>
      </c>
      <c r="R21" s="31" t="n">
        <f aca="false">-Assumptions!$D$41*Assumptions!$D$64</f>
        <v>-16120</v>
      </c>
      <c r="S21" s="31" t="n">
        <f aca="false">-Assumptions!$D$41*Assumptions!$D$64</f>
        <v>-16120</v>
      </c>
      <c r="T21" s="31" t="n">
        <f aca="false">-Assumptions!$D$41*Assumptions!$D$64</f>
        <v>-16120</v>
      </c>
      <c r="U21" s="31" t="n">
        <f aca="false">-Assumptions!$D$41*Assumptions!$D$64</f>
        <v>-16120</v>
      </c>
      <c r="V21" s="31" t="n">
        <f aca="false">-Assumptions!$D$41*Assumptions!$D$64</f>
        <v>-16120</v>
      </c>
      <c r="W21" s="31" t="n">
        <f aca="false">-Assumptions!$D$41*Assumptions!$D$64</f>
        <v>-16120</v>
      </c>
      <c r="X21" s="31" t="n">
        <f aca="false">-Assumptions!$D$41*Assumptions!$D$64</f>
        <v>-16120</v>
      </c>
      <c r="Y21" s="31" t="n">
        <f aca="false">-Assumptions!$D$41*Assumptions!$D$64</f>
        <v>-16120</v>
      </c>
      <c r="Z21" s="31" t="n">
        <f aca="false">-Assumptions!$D$41*Assumptions!$D$64</f>
        <v>-16120</v>
      </c>
      <c r="AA21" s="31" t="n">
        <f aca="false">-Assumptions!$D$41*Assumptions!$D$64</f>
        <v>-16120</v>
      </c>
      <c r="AB21" s="31" t="n">
        <f aca="false">-Assumptions!$D$41*Assumptions!$D$64</f>
        <v>-16120</v>
      </c>
      <c r="AC21" s="31" t="n">
        <f aca="false">-Assumptions!$D$41*Assumptions!$D$64</f>
        <v>-16120</v>
      </c>
      <c r="AD21" s="31" t="n">
        <f aca="false">-Assumptions!$D$41*Assumptions!$D$64</f>
        <v>-16120</v>
      </c>
      <c r="AE21" s="31" t="n">
        <f aca="false">-Assumptions!$D$41*Assumptions!$D$64</f>
        <v>-16120</v>
      </c>
      <c r="AF21" s="31" t="n">
        <f aca="false">-Assumptions!$D$41*Assumptions!$D$64</f>
        <v>-16120</v>
      </c>
      <c r="AG21" s="31" t="n">
        <f aca="false">-Assumptions!$D$41*Assumptions!$D$64</f>
        <v>-16120</v>
      </c>
    </row>
    <row r="22" customFormat="false" ht="15" hidden="false" customHeight="false" outlineLevel="0" collapsed="false">
      <c r="A22" s="35" t="s">
        <v>210</v>
      </c>
      <c r="B22" s="17" t="s">
        <v>205</v>
      </c>
      <c r="C22" s="31" t="n">
        <f aca="false">0</f>
        <v>0</v>
      </c>
      <c r="D22" s="31" t="n">
        <f aca="false">-Assumptions!$D$42*(1+Assumptions!$D$39)^(1-1)</f>
        <v>-8000</v>
      </c>
      <c r="E22" s="31" t="n">
        <f aca="false">-Assumptions!$D$42*(1+Assumptions!$D$39)^(2-1)</f>
        <v>-8160</v>
      </c>
      <c r="F22" s="31" t="n">
        <f aca="false">-Assumptions!$D$42*(1+Assumptions!$D$39)^(3-1)</f>
        <v>-8323.2</v>
      </c>
      <c r="G22" s="31" t="n">
        <f aca="false">-Assumptions!$D$42*(1+Assumptions!$D$39)^(4-1)</f>
        <v>-8489.664</v>
      </c>
      <c r="H22" s="31" t="n">
        <f aca="false">-Assumptions!$D$42*(1+Assumptions!$D$39)^(5-1)</f>
        <v>-8659.45728</v>
      </c>
      <c r="I22" s="31" t="n">
        <f aca="false">-Assumptions!$D$42*(1+Assumptions!$D$39)^(6-1)</f>
        <v>-8832.6464256</v>
      </c>
      <c r="J22" s="31" t="n">
        <f aca="false">-Assumptions!$D$42*(1+Assumptions!$D$39)^(7-1)</f>
        <v>-9009.299354112</v>
      </c>
      <c r="K22" s="31" t="n">
        <f aca="false">-Assumptions!$D$42*(1+Assumptions!$D$39)^(8-1)</f>
        <v>-9189.48534119424</v>
      </c>
      <c r="L22" s="31" t="n">
        <f aca="false">-Assumptions!$D$42*(1+Assumptions!$D$39)^(9-1)</f>
        <v>-9373.27504801813</v>
      </c>
      <c r="M22" s="31" t="n">
        <f aca="false">-Assumptions!$D$42*(1+Assumptions!$D$39)^(10-1)</f>
        <v>-9560.74054897849</v>
      </c>
      <c r="N22" s="31" t="n">
        <f aca="false">-Assumptions!$D$42*(1+Assumptions!$D$39)^(11-1)</f>
        <v>-9751.95535995806</v>
      </c>
      <c r="O22" s="31" t="n">
        <f aca="false">-Assumptions!$D$42*(1+Assumptions!$D$39)^(12-1)</f>
        <v>-9946.99446715722</v>
      </c>
      <c r="P22" s="31" t="n">
        <f aca="false">-Assumptions!$D$42*(1+Assumptions!$D$39)^(13-1)</f>
        <v>-10145.9343565004</v>
      </c>
      <c r="Q22" s="31" t="n">
        <f aca="false">-Assumptions!$D$42*(1+Assumptions!$D$39)^(14-1)</f>
        <v>-10348.8530436304</v>
      </c>
      <c r="R22" s="31" t="n">
        <f aca="false">-Assumptions!$D$42*(1+Assumptions!$D$39)^(15-1)</f>
        <v>-10555.830104503</v>
      </c>
      <c r="S22" s="31" t="n">
        <f aca="false">-Assumptions!$D$42*(1+Assumptions!$D$39)^(16-1)</f>
        <v>-10766.946706593</v>
      </c>
      <c r="T22" s="31" t="n">
        <f aca="false">-Assumptions!$D$42*(1+Assumptions!$D$39)^(17-1)</f>
        <v>-10982.2856407249</v>
      </c>
      <c r="U22" s="31" t="n">
        <f aca="false">-Assumptions!$D$42*(1+Assumptions!$D$39)^(18-1)</f>
        <v>-11201.9313535394</v>
      </c>
      <c r="V22" s="31" t="n">
        <f aca="false">-Assumptions!$D$42*(1+Assumptions!$D$39)^(19-1)</f>
        <v>-11425.9699806102</v>
      </c>
      <c r="W22" s="31" t="n">
        <f aca="false">-Assumptions!$D$42*(1+Assumptions!$D$39)^(20-1)</f>
        <v>-11654.4893802224</v>
      </c>
      <c r="X22" s="31" t="n">
        <f aca="false">-Assumptions!$D$42*(1+Assumptions!$D$39)^(21-1)</f>
        <v>-11887.5791678268</v>
      </c>
      <c r="Y22" s="31" t="n">
        <f aca="false">-Assumptions!$D$42*(1+Assumptions!$D$39)^(22-1)</f>
        <v>-12125.3307511834</v>
      </c>
      <c r="Z22" s="31" t="n">
        <f aca="false">-Assumptions!$D$42*(1+Assumptions!$D$39)^(23-1)</f>
        <v>-12367.837366207</v>
      </c>
      <c r="AA22" s="31" t="n">
        <f aca="false">-Assumptions!$D$42*(1+Assumptions!$D$39)^(24-1)</f>
        <v>-12615.1941135312</v>
      </c>
      <c r="AB22" s="31" t="n">
        <f aca="false">-Assumptions!$D$42*(1+Assumptions!$D$39)^(25-1)</f>
        <v>-12867.4979958018</v>
      </c>
      <c r="AC22" s="31" t="n">
        <f aca="false">-Assumptions!$D$42*(1+Assumptions!$D$39)^(26-1)</f>
        <v>-13124.8479557178</v>
      </c>
      <c r="AD22" s="31" t="n">
        <f aca="false">-Assumptions!$D$42*(1+Assumptions!$D$39)^(27-1)</f>
        <v>-13387.3449148322</v>
      </c>
      <c r="AE22" s="31" t="n">
        <f aca="false">-Assumptions!$D$42*(1+Assumptions!$D$39)^(28-1)</f>
        <v>-13655.0918131288</v>
      </c>
      <c r="AF22" s="31" t="n">
        <f aca="false">-Assumptions!$D$42*(1+Assumptions!$D$39)^(29-1)</f>
        <v>-13928.1936493914</v>
      </c>
      <c r="AG22" s="31" t="n">
        <f aca="false">-Assumptions!$D$42*(1+Assumptions!$D$39)^(30-1)</f>
        <v>-14206.7575223793</v>
      </c>
    </row>
    <row r="23" customFormat="false" ht="15" hidden="false" customHeight="false" outlineLevel="0" collapsed="false">
      <c r="A23" s="35" t="s">
        <v>124</v>
      </c>
      <c r="B23" s="17" t="s">
        <v>205</v>
      </c>
      <c r="C23" s="31" t="n">
        <f aca="false">0</f>
        <v>0</v>
      </c>
      <c r="D23" s="31" t="n">
        <f aca="false">-Assumptions!$D$43*(1+Assumptions!$D$39)^(1-1)</f>
        <v>-6000</v>
      </c>
      <c r="E23" s="31" t="n">
        <f aca="false">-Assumptions!$D$43*(1+Assumptions!$D$39)^(2-1)</f>
        <v>-6120</v>
      </c>
      <c r="F23" s="31" t="n">
        <f aca="false">-Assumptions!$D$43*(1+Assumptions!$D$39)^(3-1)</f>
        <v>-6242.4</v>
      </c>
      <c r="G23" s="31" t="n">
        <f aca="false">-Assumptions!$D$43*(1+Assumptions!$D$39)^(4-1)</f>
        <v>-6367.248</v>
      </c>
      <c r="H23" s="31" t="n">
        <f aca="false">-Assumptions!$D$43*(1+Assumptions!$D$39)^(5-1)</f>
        <v>-6494.59296</v>
      </c>
      <c r="I23" s="31" t="n">
        <f aca="false">-Assumptions!$D$43*(1+Assumptions!$D$39)^(6-1)</f>
        <v>-6624.4848192</v>
      </c>
      <c r="J23" s="31" t="n">
        <f aca="false">-Assumptions!$D$43*(1+Assumptions!$D$39)^(7-1)</f>
        <v>-6756.974515584</v>
      </c>
      <c r="K23" s="31" t="n">
        <f aca="false">-Assumptions!$D$43*(1+Assumptions!$D$39)^(8-1)</f>
        <v>-6892.11400589568</v>
      </c>
      <c r="L23" s="31" t="n">
        <f aca="false">-Assumptions!$D$43*(1+Assumptions!$D$39)^(9-1)</f>
        <v>-7029.9562860136</v>
      </c>
      <c r="M23" s="31" t="n">
        <f aca="false">-Assumptions!$D$43*(1+Assumptions!$D$39)^(10-1)</f>
        <v>-7170.55541173387</v>
      </c>
      <c r="N23" s="31" t="n">
        <f aca="false">-Assumptions!$D$43*(1+Assumptions!$D$39)^(11-1)</f>
        <v>-7313.96651996854</v>
      </c>
      <c r="O23" s="31" t="n">
        <f aca="false">-Assumptions!$D$43*(1+Assumptions!$D$39)^(12-1)</f>
        <v>-7460.24585036791</v>
      </c>
      <c r="P23" s="31" t="n">
        <f aca="false">-Assumptions!$D$43*(1+Assumptions!$D$39)^(13-1)</f>
        <v>-7609.45076737527</v>
      </c>
      <c r="Q23" s="31" t="n">
        <f aca="false">-Assumptions!$D$43*(1+Assumptions!$D$39)^(14-1)</f>
        <v>-7761.63978272278</v>
      </c>
      <c r="R23" s="31" t="n">
        <f aca="false">-Assumptions!$D$43*(1+Assumptions!$D$39)^(15-1)</f>
        <v>-7916.87257837723</v>
      </c>
      <c r="S23" s="31" t="n">
        <f aca="false">-Assumptions!$D$43*(1+Assumptions!$D$39)^(16-1)</f>
        <v>-8075.21002994478</v>
      </c>
      <c r="T23" s="31" t="n">
        <f aca="false">-Assumptions!$D$43*(1+Assumptions!$D$39)^(17-1)</f>
        <v>-8236.71423054368</v>
      </c>
      <c r="U23" s="31" t="n">
        <f aca="false">-Assumptions!$D$43*(1+Assumptions!$D$39)^(18-1)</f>
        <v>-8401.44851515455</v>
      </c>
      <c r="V23" s="31" t="n">
        <f aca="false">-Assumptions!$D$43*(1+Assumptions!$D$39)^(19-1)</f>
        <v>-8569.47748545764</v>
      </c>
      <c r="W23" s="31" t="n">
        <f aca="false">-Assumptions!$D$43*(1+Assumptions!$D$39)^(20-1)</f>
        <v>-8740.86703516679</v>
      </c>
      <c r="X23" s="31" t="n">
        <f aca="false">-Assumptions!$D$43*(1+Assumptions!$D$39)^(21-1)</f>
        <v>-8915.68437587013</v>
      </c>
      <c r="Y23" s="31" t="n">
        <f aca="false">-Assumptions!$D$43*(1+Assumptions!$D$39)^(22-1)</f>
        <v>-9093.99806338753</v>
      </c>
      <c r="Z23" s="31" t="n">
        <f aca="false">-Assumptions!$D$43*(1+Assumptions!$D$39)^(23-1)</f>
        <v>-9275.87802465528</v>
      </c>
      <c r="AA23" s="31" t="n">
        <f aca="false">-Assumptions!$D$43*(1+Assumptions!$D$39)^(24-1)</f>
        <v>-9461.39558514839</v>
      </c>
      <c r="AB23" s="31" t="n">
        <f aca="false">-Assumptions!$D$43*(1+Assumptions!$D$39)^(25-1)</f>
        <v>-9650.62349685136</v>
      </c>
      <c r="AC23" s="31" t="n">
        <f aca="false">-Assumptions!$D$43*(1+Assumptions!$D$39)^(26-1)</f>
        <v>-9843.63596678838</v>
      </c>
      <c r="AD23" s="31" t="n">
        <f aca="false">-Assumptions!$D$43*(1+Assumptions!$D$39)^(27-1)</f>
        <v>-10040.5086861242</v>
      </c>
      <c r="AE23" s="31" t="n">
        <f aca="false">-Assumptions!$D$43*(1+Assumptions!$D$39)^(28-1)</f>
        <v>-10241.3188598466</v>
      </c>
      <c r="AF23" s="31" t="n">
        <f aca="false">-Assumptions!$D$43*(1+Assumptions!$D$39)^(29-1)</f>
        <v>-10446.1452370436</v>
      </c>
      <c r="AG23" s="31" t="n">
        <f aca="false">-Assumptions!$D$43*(1+Assumptions!$D$39)^(30-1)</f>
        <v>-10655.0681417844</v>
      </c>
    </row>
    <row r="24" customFormat="false" ht="15" hidden="false" customHeight="false" outlineLevel="0" collapsed="false">
      <c r="A24" s="35" t="s">
        <v>126</v>
      </c>
      <c r="B24" s="17" t="s">
        <v>205</v>
      </c>
      <c r="C24" s="31" t="n">
        <f aca="false">0</f>
        <v>0</v>
      </c>
      <c r="D24" s="31" t="n">
        <f aca="false">-D6*Assumptions!$D$44</f>
        <v>-11800</v>
      </c>
      <c r="E24" s="31" t="n">
        <f aca="false">-E6*Assumptions!$D$44</f>
        <v>-11741</v>
      </c>
      <c r="F24" s="31" t="n">
        <f aca="false">-F6*Assumptions!$D$44</f>
        <v>-11682.295</v>
      </c>
      <c r="G24" s="31" t="n">
        <f aca="false">-G6*Assumptions!$D$44</f>
        <v>-11623.883525</v>
      </c>
      <c r="H24" s="31" t="n">
        <f aca="false">-H6*Assumptions!$D$44</f>
        <v>-11565.764107375</v>
      </c>
      <c r="I24" s="31" t="n">
        <f aca="false">-I6*Assumptions!$D$44</f>
        <v>-11507.9352868381</v>
      </c>
      <c r="J24" s="31" t="n">
        <f aca="false">-J6*Assumptions!$D$44</f>
        <v>-11450.3956104039</v>
      </c>
      <c r="K24" s="31" t="n">
        <f aca="false">-K6*Assumptions!$D$44</f>
        <v>-11393.1436323519</v>
      </c>
      <c r="L24" s="31" t="n">
        <f aca="false">-L6*Assumptions!$D$44</f>
        <v>-11336.1779141902</v>
      </c>
      <c r="M24" s="31" t="n">
        <f aca="false">-M6*Assumptions!$D$44</f>
        <v>-11279.4970246192</v>
      </c>
      <c r="N24" s="31" t="n">
        <f aca="false">-N6*Assumptions!$D$44</f>
        <v>-11223.0995394961</v>
      </c>
      <c r="O24" s="31" t="n">
        <f aca="false">-O6*Assumptions!$D$44</f>
        <v>-11166.9840417986</v>
      </c>
      <c r="P24" s="31" t="n">
        <f aca="false">-P6*Assumptions!$D$44</f>
        <v>-11111.1491215896</v>
      </c>
      <c r="Q24" s="31" t="n">
        <f aca="false">-Q6*Assumptions!$D$44</f>
        <v>-11055.5933759817</v>
      </c>
      <c r="R24" s="31" t="n">
        <f aca="false">-R6*Assumptions!$D$44</f>
        <v>-11000.3154091018</v>
      </c>
      <c r="S24" s="31" t="n">
        <f aca="false">-S6*Assumptions!$D$44</f>
        <v>-10945.3138320563</v>
      </c>
      <c r="T24" s="31" t="n">
        <f aca="false">-T6*Assumptions!$D$44</f>
        <v>-10890.587262896</v>
      </c>
      <c r="U24" s="31" t="n">
        <f aca="false">-U6*Assumptions!$D$44</f>
        <v>-10836.1343265815</v>
      </c>
      <c r="V24" s="31" t="n">
        <f aca="false">-V6*Assumptions!$D$44</f>
        <v>-10781.9536549486</v>
      </c>
      <c r="W24" s="31" t="n">
        <f aca="false">-W6*Assumptions!$D$44</f>
        <v>-10728.0438866739</v>
      </c>
      <c r="X24" s="31" t="n">
        <f aca="false">-X6*Assumptions!$D$44</f>
        <v>-10674.4036672405</v>
      </c>
      <c r="Y24" s="31" t="n">
        <f aca="false">-Y6*Assumptions!$D$44</f>
        <v>-10621.0316489043</v>
      </c>
      <c r="Z24" s="31" t="n">
        <f aca="false">-Z6*Assumptions!$D$44</f>
        <v>-10567.9264906598</v>
      </c>
      <c r="AA24" s="31" t="n">
        <f aca="false">-AA6*Assumptions!$D$44</f>
        <v>-10515.0868582065</v>
      </c>
      <c r="AB24" s="31" t="n">
        <f aca="false">-AB6*Assumptions!$D$44</f>
        <v>-10462.5114239154</v>
      </c>
      <c r="AC24" s="31" t="n">
        <f aca="false">-AC6*Assumptions!$D$44</f>
        <v>-10410.1988667959</v>
      </c>
      <c r="AD24" s="31" t="n">
        <f aca="false">-AD6*Assumptions!$D$44</f>
        <v>-10358.1478724619</v>
      </c>
      <c r="AE24" s="31" t="n">
        <f aca="false">-AE6*Assumptions!$D$44</f>
        <v>-10306.3571330996</v>
      </c>
      <c r="AF24" s="31" t="n">
        <f aca="false">-AF6*Assumptions!$D$44</f>
        <v>-10254.8253474341</v>
      </c>
      <c r="AG24" s="31" t="n">
        <f aca="false">-AG6*Assumptions!$D$44</f>
        <v>-10203.5512206969</v>
      </c>
    </row>
    <row r="25" customFormat="false" ht="15" hidden="false" customHeight="false" outlineLevel="0" collapsed="false">
      <c r="A25" s="35" t="s">
        <v>211</v>
      </c>
      <c r="B25" s="17" t="s">
        <v>205</v>
      </c>
      <c r="C25" s="31" t="n">
        <f aca="false">0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H25" s="31" t="n">
        <f aca="false">0</f>
        <v>0</v>
      </c>
      <c r="I25" s="31" t="n">
        <f aca="false">0</f>
        <v>0</v>
      </c>
      <c r="J25" s="31" t="n">
        <f aca="false">0</f>
        <v>0</v>
      </c>
      <c r="K25" s="31" t="n">
        <f aca="false">0</f>
        <v>0</v>
      </c>
      <c r="L25" s="31" t="n">
        <f aca="false">0</f>
        <v>0</v>
      </c>
      <c r="M25" s="31" t="n">
        <f aca="false">0</f>
        <v>0</v>
      </c>
      <c r="N25" s="31" t="n">
        <f aca="false">0</f>
        <v>0</v>
      </c>
      <c r="O25" s="31" t="n">
        <f aca="false">0</f>
        <v>0</v>
      </c>
      <c r="P25" s="31" t="n">
        <f aca="false">0</f>
        <v>0</v>
      </c>
      <c r="Q25" s="31" t="n">
        <f aca="false">0</f>
        <v>0</v>
      </c>
      <c r="R25" s="31" t="n">
        <f aca="false">0</f>
        <v>0</v>
      </c>
      <c r="S25" s="31" t="n">
        <f aca="false">0</f>
        <v>0</v>
      </c>
      <c r="T25" s="31" t="n">
        <f aca="false">0</f>
        <v>0</v>
      </c>
      <c r="U25" s="31" t="n">
        <f aca="false">0</f>
        <v>0</v>
      </c>
      <c r="V25" s="31" t="n">
        <f aca="false">0</f>
        <v>0</v>
      </c>
      <c r="W25" s="31" t="n">
        <f aca="false">0</f>
        <v>0</v>
      </c>
      <c r="X25" s="31" t="n">
        <f aca="false">0</f>
        <v>0</v>
      </c>
      <c r="Y25" s="31" t="n">
        <f aca="false">0</f>
        <v>0</v>
      </c>
      <c r="Z25" s="31" t="n">
        <f aca="false">0</f>
        <v>0</v>
      </c>
      <c r="AA25" s="31" t="n">
        <f aca="false">0</f>
        <v>0</v>
      </c>
      <c r="AB25" s="31" t="n">
        <f aca="false">0</f>
        <v>0</v>
      </c>
      <c r="AC25" s="31" t="n">
        <f aca="false">0</f>
        <v>0</v>
      </c>
      <c r="AD25" s="31" t="n">
        <f aca="false">0</f>
        <v>0</v>
      </c>
      <c r="AE25" s="31" t="n">
        <f aca="false">0</f>
        <v>0</v>
      </c>
      <c r="AF25" s="31" t="n">
        <f aca="false">0</f>
        <v>0</v>
      </c>
      <c r="AG25" s="31" t="n">
        <f aca="false">-Assumptions!$D$35*Assumptions!$D$5</f>
        <v>-90000</v>
      </c>
    </row>
    <row r="26" customFormat="false" ht="15" hidden="false" customHeight="false" outlineLevel="0" collapsed="false">
      <c r="A26" s="36" t="s">
        <v>212</v>
      </c>
      <c r="B26" s="17" t="s">
        <v>205</v>
      </c>
      <c r="C26" s="37" t="n">
        <f aca="false">SUM(C19:C25)</f>
        <v>0</v>
      </c>
      <c r="D26" s="37" t="n">
        <f aca="false">SUM(D19:D25)</f>
        <v>-121320</v>
      </c>
      <c r="E26" s="37" t="n">
        <f aca="false">SUM(E19:E25)</f>
        <v>-123129</v>
      </c>
      <c r="F26" s="37" t="n">
        <f aca="false">SUM(F19:F25)</f>
        <v>-124975.655</v>
      </c>
      <c r="G26" s="37" t="n">
        <f aca="false">SUM(G19:G25)</f>
        <v>-126860.710725</v>
      </c>
      <c r="H26" s="37" t="n">
        <f aca="false">SUM(H19:H25)</f>
        <v>-128784.927851375</v>
      </c>
      <c r="I26" s="37" t="n">
        <f aca="false">SUM(I19:I25)</f>
        <v>-130749.082305718</v>
      </c>
      <c r="J26" s="37" t="n">
        <f aca="false">SUM(J19:J25)</f>
        <v>-132753.965569662</v>
      </c>
      <c r="K26" s="37" t="n">
        <f aca="false">SUM(K19:K25)</f>
        <v>-134800.384990795</v>
      </c>
      <c r="L26" s="37" t="n">
        <f aca="false">SUM(L19:L25)</f>
        <v>-136889.164099802</v>
      </c>
      <c r="M26" s="37" t="n">
        <f aca="false">SUM(M19:M25)</f>
        <v>-139021.142933943</v>
      </c>
      <c r="N26" s="37" t="n">
        <f aca="false">SUM(N19:N25)</f>
        <v>-141197.178367006</v>
      </c>
      <c r="O26" s="37" t="n">
        <f aca="false">SUM(O19:O25)</f>
        <v>-143418.144445859</v>
      </c>
      <c r="P26" s="37" t="n">
        <f aca="false">SUM(P19:P25)</f>
        <v>-145684.932733731</v>
      </c>
      <c r="Q26" s="37" t="n">
        <f aca="false">SUM(Q19:Q25)</f>
        <v>-147998.452660366</v>
      </c>
      <c r="R26" s="37" t="n">
        <f aca="false">SUM(R19:R25)</f>
        <v>-150359.631879174</v>
      </c>
      <c r="S26" s="37" t="n">
        <f aca="false">SUM(S19:S25)</f>
        <v>-152769.41663153</v>
      </c>
      <c r="T26" s="37" t="n">
        <f aca="false">SUM(T19:T25)</f>
        <v>-155228.772118359</v>
      </c>
      <c r="U26" s="37" t="n">
        <f aca="false">SUM(U19:U25)</f>
        <v>-157738.682879154</v>
      </c>
      <c r="V26" s="37" t="n">
        <f aca="false">SUM(V19:V25)</f>
        <v>-160300.153178573</v>
      </c>
      <c r="W26" s="37" t="n">
        <f aca="false">SUM(W19:W25)</f>
        <v>-162914.20740077</v>
      </c>
      <c r="X26" s="37" t="n">
        <f aca="false">SUM(X19:X25)</f>
        <v>-165581.890451619</v>
      </c>
      <c r="Y26" s="37" t="n">
        <f aca="false">SUM(Y19:Y25)</f>
        <v>-168304.26816897</v>
      </c>
      <c r="Z26" s="37" t="n">
        <f aca="false">SUM(Z19:Z25)</f>
        <v>-171082.427741127</v>
      </c>
      <c r="AA26" s="37" t="n">
        <f aca="false">SUM(AA19:AA25)</f>
        <v>-173917.478133683</v>
      </c>
      <c r="AB26" s="37" t="n">
        <f aca="false">SUM(AB19:AB25)</f>
        <v>-176810.550524902</v>
      </c>
      <c r="AC26" s="37" t="n">
        <f aca="false">SUM(AC19:AC25)</f>
        <v>-179762.798749802</v>
      </c>
      <c r="AD26" s="37" t="n">
        <f aca="false">SUM(AD19:AD25)</f>
        <v>-182775.399753128</v>
      </c>
      <c r="AE26" s="37" t="n">
        <f aca="false">SUM(AE19:AE25)</f>
        <v>-185849.554051379</v>
      </c>
      <c r="AF26" s="37" t="n">
        <f aca="false">SUM(AF19:AF25)</f>
        <v>-188986.486204079</v>
      </c>
      <c r="AG26" s="37" t="n">
        <f aca="false">SUM(AG19:AG25)</f>
        <v>-282187.445294475</v>
      </c>
    </row>
    <row r="28" customFormat="false" ht="15" hidden="false" customHeight="false" outlineLevel="0" collapsed="false">
      <c r="A28" s="36" t="s">
        <v>213</v>
      </c>
      <c r="B28" s="17" t="s">
        <v>205</v>
      </c>
      <c r="C28" s="38" t="n">
        <f aca="false">C16+C26</f>
        <v>0</v>
      </c>
      <c r="D28" s="38" t="n">
        <f aca="false">D16+D26</f>
        <v>290830</v>
      </c>
      <c r="E28" s="38" t="n">
        <f aca="false">E16+E26</f>
        <v>294514.49</v>
      </c>
      <c r="F28" s="38" t="n">
        <f aca="false">F16+F26</f>
        <v>298245.819726</v>
      </c>
      <c r="G28" s="38" t="n">
        <f aca="false">G16+G26</f>
        <v>302024.489215793</v>
      </c>
      <c r="H28" s="38" t="n">
        <f aca="false">H16+H26</f>
        <v>305851.002183703</v>
      </c>
      <c r="I28" s="38" t="n">
        <f aca="false">I16+I26</f>
        <v>309725.865998975</v>
      </c>
      <c r="J28" s="38" t="n">
        <f aca="false">J16+J26</f>
        <v>313649.591662304</v>
      </c>
      <c r="K28" s="38" t="n">
        <f aca="false">K16+K26</f>
        <v>317622.693780471</v>
      </c>
      <c r="L28" s="38" t="n">
        <f aca="false">L16+L26</f>
        <v>321645.690539017</v>
      </c>
      <c r="M28" s="38" t="n">
        <f aca="false">M16+M26</f>
        <v>325719.103672886</v>
      </c>
      <c r="N28" s="38" t="n">
        <f aca="false">N16+N26</f>
        <v>329843.458434987</v>
      </c>
      <c r="O28" s="38" t="n">
        <f aca="false">O16+O26</f>
        <v>334019.283562603</v>
      </c>
      <c r="P28" s="38" t="n">
        <f aca="false">P16+P26</f>
        <v>338247.111241586</v>
      </c>
      <c r="Q28" s="38" t="n">
        <f aca="false">Q16+Q26</f>
        <v>342527.477068264</v>
      </c>
      <c r="R28" s="38" t="n">
        <f aca="false">R16+R26</f>
        <v>346860.920009003</v>
      </c>
      <c r="S28" s="38" t="n">
        <f aca="false">S16+S26</f>
        <v>351247.982357339</v>
      </c>
      <c r="T28" s="38" t="n">
        <f aca="false">T16+T26</f>
        <v>355689.209688613</v>
      </c>
      <c r="U28" s="38" t="n">
        <f aca="false">U16+U26</f>
        <v>360185.150812046</v>
      </c>
      <c r="V28" s="38" t="n">
        <f aca="false">V16+V26</f>
        <v>364736.357720154</v>
      </c>
      <c r="W28" s="38" t="n">
        <f aca="false">W16+W26</f>
        <v>369343.385535447</v>
      </c>
      <c r="X28" s="38" t="n">
        <f aca="false">X16+X26</f>
        <v>117284.003979824</v>
      </c>
      <c r="Y28" s="38" t="n">
        <f aca="false">Y16+Y26</f>
        <v>113187.296790315</v>
      </c>
      <c r="Z28" s="38" t="n">
        <f aca="false">Z16+Z26</f>
        <v>109041.679393362</v>
      </c>
      <c r="AA28" s="38" t="n">
        <f aca="false">AA16+AA26</f>
        <v>104846.008465133</v>
      </c>
      <c r="AB28" s="38" t="n">
        <f aca="false">AB16+AB26</f>
        <v>100599.118640921</v>
      </c>
      <c r="AC28" s="38" t="n">
        <f aca="false">AC16+AC26</f>
        <v>96299.8220701916</v>
      </c>
      <c r="AD28" s="38" t="n">
        <f aca="false">AD16+AD26</f>
        <v>91946.9079627655</v>
      </c>
      <c r="AE28" s="38" t="n">
        <f aca="false">AE16+AE26</f>
        <v>87539.1421259349</v>
      </c>
      <c r="AF28" s="38" t="n">
        <f aca="false">AF16+AF26</f>
        <v>83075.2664923483</v>
      </c>
      <c r="AG28" s="38" t="n">
        <f aca="false">AG16+AG26</f>
        <v>48553.9986384705</v>
      </c>
    </row>
    <row r="30" customFormat="false" ht="19.5" hidden="false" customHeight="true" outlineLevel="0" collapsed="false">
      <c r="A30" s="15" t="s">
        <v>214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customFormat="false" ht="15" hidden="false" customHeight="false" outlineLevel="0" collapsed="false">
      <c r="A31" s="35" t="s">
        <v>215</v>
      </c>
      <c r="B31" s="17" t="s">
        <v>205</v>
      </c>
      <c r="C31" s="31" t="n">
        <f aca="false">0</f>
        <v>0</v>
      </c>
      <c r="D31" s="31" t="n">
        <f aca="false">IF(1&lt;=Assumptions!$D$54,-Assumptions!$D$64/Assumptions!$D$54,0)</f>
        <v>-128960</v>
      </c>
      <c r="E31" s="31" t="n">
        <f aca="false">IF(2&lt;=Assumptions!$D$54,-Assumptions!$D$64/Assumptions!$D$54,0)</f>
        <v>-128960</v>
      </c>
      <c r="F31" s="31" t="n">
        <f aca="false">IF(3&lt;=Assumptions!$D$54,-Assumptions!$D$64/Assumptions!$D$54,0)</f>
        <v>-128960</v>
      </c>
      <c r="G31" s="31" t="n">
        <f aca="false">IF(4&lt;=Assumptions!$D$54,-Assumptions!$D$64/Assumptions!$D$54,0)</f>
        <v>-128960</v>
      </c>
      <c r="H31" s="31" t="n">
        <f aca="false">IF(5&lt;=Assumptions!$D$54,-Assumptions!$D$64/Assumptions!$D$54,0)</f>
        <v>-128960</v>
      </c>
      <c r="I31" s="31" t="n">
        <f aca="false">IF(6&lt;=Assumptions!$D$54,-Assumptions!$D$64/Assumptions!$D$54,0)</f>
        <v>-128960</v>
      </c>
      <c r="J31" s="31" t="n">
        <f aca="false">IF(7&lt;=Assumptions!$D$54,-Assumptions!$D$64/Assumptions!$D$54,0)</f>
        <v>-128960</v>
      </c>
      <c r="K31" s="31" t="n">
        <f aca="false">IF(8&lt;=Assumptions!$D$54,-Assumptions!$D$64/Assumptions!$D$54,0)</f>
        <v>-128960</v>
      </c>
      <c r="L31" s="31" t="n">
        <f aca="false">IF(9&lt;=Assumptions!$D$54,-Assumptions!$D$64/Assumptions!$D$54,0)</f>
        <v>-128960</v>
      </c>
      <c r="M31" s="31" t="n">
        <f aca="false">IF(10&lt;=Assumptions!$D$54,-Assumptions!$D$64/Assumptions!$D$54,0)</f>
        <v>-128960</v>
      </c>
      <c r="N31" s="31" t="n">
        <f aca="false">IF(11&lt;=Assumptions!$D$54,-Assumptions!$D$64/Assumptions!$D$54,0)</f>
        <v>-128960</v>
      </c>
      <c r="O31" s="31" t="n">
        <f aca="false">IF(12&lt;=Assumptions!$D$54,-Assumptions!$D$64/Assumptions!$D$54,0)</f>
        <v>-128960</v>
      </c>
      <c r="P31" s="31" t="n">
        <f aca="false">IF(13&lt;=Assumptions!$D$54,-Assumptions!$D$64/Assumptions!$D$54,0)</f>
        <v>-128960</v>
      </c>
      <c r="Q31" s="31" t="n">
        <f aca="false">IF(14&lt;=Assumptions!$D$54,-Assumptions!$D$64/Assumptions!$D$54,0)</f>
        <v>-128960</v>
      </c>
      <c r="R31" s="31" t="n">
        <f aca="false">IF(15&lt;=Assumptions!$D$54,-Assumptions!$D$64/Assumptions!$D$54,0)</f>
        <v>-128960</v>
      </c>
      <c r="S31" s="31" t="n">
        <f aca="false">IF(16&lt;=Assumptions!$D$54,-Assumptions!$D$64/Assumptions!$D$54,0)</f>
        <v>-128960</v>
      </c>
      <c r="T31" s="31" t="n">
        <f aca="false">IF(17&lt;=Assumptions!$D$54,-Assumptions!$D$64/Assumptions!$D$54,0)</f>
        <v>-128960</v>
      </c>
      <c r="U31" s="31" t="n">
        <f aca="false">IF(18&lt;=Assumptions!$D$54,-Assumptions!$D$64/Assumptions!$D$54,0)</f>
        <v>-128960</v>
      </c>
      <c r="V31" s="31" t="n">
        <f aca="false">IF(19&lt;=Assumptions!$D$54,-Assumptions!$D$64/Assumptions!$D$54,0)</f>
        <v>-128960</v>
      </c>
      <c r="W31" s="31" t="n">
        <f aca="false">IF(20&lt;=Assumptions!$D$54,-Assumptions!$D$64/Assumptions!$D$54,0)</f>
        <v>-128960</v>
      </c>
      <c r="X31" s="31" t="n">
        <f aca="false">IF(21&lt;=Assumptions!$D$54,-Assumptions!$D$64/Assumptions!$D$54,0)</f>
        <v>-128960</v>
      </c>
      <c r="Y31" s="31" t="n">
        <f aca="false">IF(22&lt;=Assumptions!$D$54,-Assumptions!$D$64/Assumptions!$D$54,0)</f>
        <v>-128960</v>
      </c>
      <c r="Z31" s="31" t="n">
        <f aca="false">IF(23&lt;=Assumptions!$D$54,-Assumptions!$D$64/Assumptions!$D$54,0)</f>
        <v>-128960</v>
      </c>
      <c r="AA31" s="31" t="n">
        <f aca="false">IF(24&lt;=Assumptions!$D$54,-Assumptions!$D$64/Assumptions!$D$54,0)</f>
        <v>-128960</v>
      </c>
      <c r="AB31" s="31" t="n">
        <f aca="false">IF(25&lt;=Assumptions!$D$54,-Assumptions!$D$64/Assumptions!$D$54,0)</f>
        <v>-128960</v>
      </c>
      <c r="AC31" s="31" t="n">
        <f aca="false">IF(26&lt;=Assumptions!$D$54,-Assumptions!$D$64/Assumptions!$D$54,0)</f>
        <v>0</v>
      </c>
      <c r="AD31" s="31" t="n">
        <f aca="false">IF(27&lt;=Assumptions!$D$54,-Assumptions!$D$64/Assumptions!$D$54,0)</f>
        <v>0</v>
      </c>
      <c r="AE31" s="31" t="n">
        <f aca="false">IF(28&lt;=Assumptions!$D$54,-Assumptions!$D$64/Assumptions!$D$54,0)</f>
        <v>0</v>
      </c>
      <c r="AF31" s="31" t="n">
        <f aca="false">IF(29&lt;=Assumptions!$D$54,-Assumptions!$D$64/Assumptions!$D$54,0)</f>
        <v>0</v>
      </c>
      <c r="AG31" s="31" t="n">
        <f aca="false">IF(30&lt;=Assumptions!$D$54,-Assumptions!$D$64/Assumptions!$D$54,0)</f>
        <v>0</v>
      </c>
    </row>
    <row r="32" customFormat="false" ht="15" hidden="false" customHeight="false" outlineLevel="0" collapsed="false">
      <c r="A32" s="35" t="s">
        <v>216</v>
      </c>
      <c r="B32" s="17" t="s">
        <v>205</v>
      </c>
      <c r="C32" s="31" t="n">
        <f aca="false">0</f>
        <v>0</v>
      </c>
      <c r="D32" s="31" t="n">
        <f aca="false">Assumptions!$D$66</f>
        <v>1934400</v>
      </c>
      <c r="E32" s="31" t="n">
        <f aca="false">D35</f>
        <v>1872738.78641956</v>
      </c>
      <c r="F32" s="31" t="n">
        <f aca="false">E35</f>
        <v>1808302.818228</v>
      </c>
      <c r="G32" s="31" t="n">
        <f aca="false">F35</f>
        <v>1740967.23146783</v>
      </c>
      <c r="H32" s="31" t="n">
        <f aca="false">G35</f>
        <v>1670601.54330344</v>
      </c>
      <c r="I32" s="31" t="n">
        <f aca="false">H35</f>
        <v>1597069.39917165</v>
      </c>
      <c r="J32" s="31" t="n">
        <f aca="false">I35</f>
        <v>1520228.30855394</v>
      </c>
      <c r="K32" s="31" t="n">
        <f aca="false">J35</f>
        <v>1439929.36885843</v>
      </c>
      <c r="L32" s="31" t="n">
        <f aca="false">K35</f>
        <v>1356016.97687662</v>
      </c>
      <c r="M32" s="31" t="n">
        <f aca="false">L35</f>
        <v>1268328.52725563</v>
      </c>
      <c r="N32" s="31" t="n">
        <f aca="false">M35</f>
        <v>1176694.09740169</v>
      </c>
      <c r="O32" s="31" t="n">
        <f aca="false">N35</f>
        <v>1080936.11820433</v>
      </c>
      <c r="P32" s="31" t="n">
        <f aca="false">O35</f>
        <v>980869.029943088</v>
      </c>
      <c r="Q32" s="31" t="n">
        <f aca="false">P35</f>
        <v>876298.922710088</v>
      </c>
      <c r="R32" s="31" t="n">
        <f aca="false">Q35</f>
        <v>767023.160651604</v>
      </c>
      <c r="S32" s="31" t="n">
        <f aca="false">R35</f>
        <v>652829.989300487</v>
      </c>
      <c r="T32" s="31" t="n">
        <f aca="false">S35</f>
        <v>533498.125238571</v>
      </c>
      <c r="U32" s="31" t="n">
        <f aca="false">T35</f>
        <v>408796.327293868</v>
      </c>
      <c r="V32" s="31" t="n">
        <f aca="false">U35</f>
        <v>278482.948441653</v>
      </c>
      <c r="W32" s="31" t="n">
        <f aca="false">V35</f>
        <v>142305.467541089</v>
      </c>
      <c r="X32" s="31" t="n">
        <f aca="false">W35</f>
        <v>-6.40284270048142E-010</v>
      </c>
      <c r="Y32" s="31" t="n">
        <f aca="false">X35</f>
        <v>-6.40284270048142E-010</v>
      </c>
      <c r="Z32" s="31" t="n">
        <f aca="false">Y35</f>
        <v>-6.40284270048142E-010</v>
      </c>
      <c r="AA32" s="31" t="n">
        <f aca="false">Z35</f>
        <v>-6.40284270048142E-010</v>
      </c>
      <c r="AB32" s="31" t="n">
        <f aca="false">AA35</f>
        <v>-6.40284270048142E-010</v>
      </c>
      <c r="AC32" s="31" t="n">
        <f aca="false">AB35</f>
        <v>-6.40284270048142E-010</v>
      </c>
      <c r="AD32" s="31" t="n">
        <f aca="false">AC35</f>
        <v>-6.40284270048142E-010</v>
      </c>
      <c r="AE32" s="31" t="n">
        <f aca="false">AD35</f>
        <v>-6.40284270048142E-010</v>
      </c>
      <c r="AF32" s="31" t="n">
        <f aca="false">AE35</f>
        <v>-6.40284270048142E-010</v>
      </c>
      <c r="AG32" s="31" t="n">
        <f aca="false">AF35</f>
        <v>-6.40284270048142E-010</v>
      </c>
    </row>
    <row r="33" customFormat="false" ht="15" hidden="false" customHeight="false" outlineLevel="0" collapsed="false">
      <c r="A33" s="35" t="s">
        <v>217</v>
      </c>
      <c r="B33" s="17" t="s">
        <v>205</v>
      </c>
      <c r="C33" s="31" t="n">
        <f aca="false">0</f>
        <v>0</v>
      </c>
      <c r="D33" s="31" t="n">
        <f aca="false">-D32*Assumptions!$D$48</f>
        <v>-87048</v>
      </c>
      <c r="E33" s="31" t="n">
        <f aca="false">-E32*Assumptions!$D$48</f>
        <v>-84273.2453888803</v>
      </c>
      <c r="F33" s="31" t="n">
        <f aca="false">-F32*Assumptions!$D$48</f>
        <v>-81373.6268202602</v>
      </c>
      <c r="G33" s="31" t="n">
        <f aca="false">-G32*Assumptions!$D$48</f>
        <v>-78343.5254160521</v>
      </c>
      <c r="H33" s="31" t="n">
        <f aca="false">-H32*Assumptions!$D$48</f>
        <v>-75177.0694486547</v>
      </c>
      <c r="I33" s="31" t="n">
        <f aca="false">-I32*Assumptions!$D$48</f>
        <v>-71868.1229627245</v>
      </c>
      <c r="J33" s="31" t="n">
        <f aca="false">-J32*Assumptions!$D$48</f>
        <v>-68410.2738849273</v>
      </c>
      <c r="K33" s="31" t="n">
        <f aca="false">-K32*Assumptions!$D$48</f>
        <v>-64796.8215986293</v>
      </c>
      <c r="L33" s="31" t="n">
        <f aca="false">-L32*Assumptions!$D$48</f>
        <v>-61020.7639594479</v>
      </c>
      <c r="M33" s="31" t="n">
        <f aca="false">-M32*Assumptions!$D$48</f>
        <v>-57074.7837265033</v>
      </c>
      <c r="N33" s="31" t="n">
        <f aca="false">-N32*Assumptions!$D$48</f>
        <v>-52951.2343830762</v>
      </c>
      <c r="O33" s="31" t="n">
        <f aca="false">-O32*Assumptions!$D$48</f>
        <v>-48642.1253191949</v>
      </c>
      <c r="P33" s="31" t="n">
        <f aca="false">-P32*Assumptions!$D$48</f>
        <v>-44139.106347439</v>
      </c>
      <c r="Q33" s="31" t="n">
        <f aca="false">-Q32*Assumptions!$D$48</f>
        <v>-39433.451521954</v>
      </c>
      <c r="R33" s="31" t="n">
        <f aca="false">-R32*Assumptions!$D$48</f>
        <v>-34516.0422293222</v>
      </c>
      <c r="S33" s="31" t="n">
        <f aca="false">-S32*Assumptions!$D$48</f>
        <v>-29377.3495185219</v>
      </c>
      <c r="T33" s="31" t="n">
        <f aca="false">-T32*Assumptions!$D$48</f>
        <v>-24007.4156357357</v>
      </c>
      <c r="U33" s="31" t="n">
        <f aca="false">-U32*Assumptions!$D$48</f>
        <v>-18395.834728224</v>
      </c>
      <c r="V33" s="31" t="n">
        <f aca="false">-V32*Assumptions!$D$48</f>
        <v>-12531.7326798744</v>
      </c>
      <c r="W33" s="31" t="n">
        <f aca="false">-W32*Assumptions!$D$48</f>
        <v>-6403.746039349</v>
      </c>
      <c r="X33" s="31" t="n">
        <f aca="false">-X32*Assumptions!$D$48</f>
        <v>2.88127921521664E-011</v>
      </c>
      <c r="Y33" s="31" t="n">
        <f aca="false">-Y32*Assumptions!$D$48</f>
        <v>2.88127921521664E-011</v>
      </c>
      <c r="Z33" s="31" t="n">
        <f aca="false">-Z32*Assumptions!$D$48</f>
        <v>2.88127921521664E-011</v>
      </c>
      <c r="AA33" s="31" t="n">
        <f aca="false">-AA32*Assumptions!$D$48</f>
        <v>2.88127921521664E-011</v>
      </c>
      <c r="AB33" s="31" t="n">
        <f aca="false">-AB32*Assumptions!$D$48</f>
        <v>2.88127921521664E-011</v>
      </c>
      <c r="AC33" s="31" t="n">
        <f aca="false">-AC32*Assumptions!$D$48</f>
        <v>2.88127921521664E-011</v>
      </c>
      <c r="AD33" s="31" t="n">
        <f aca="false">-AD32*Assumptions!$D$48</f>
        <v>2.88127921521664E-011</v>
      </c>
      <c r="AE33" s="31" t="n">
        <f aca="false">-AE32*Assumptions!$D$48</f>
        <v>2.88127921521664E-011</v>
      </c>
      <c r="AF33" s="31" t="n">
        <f aca="false">-AF32*Assumptions!$D$48</f>
        <v>2.88127921521664E-011</v>
      </c>
      <c r="AG33" s="31" t="n">
        <f aca="false">-AG32*Assumptions!$D$48</f>
        <v>2.88127921521664E-011</v>
      </c>
    </row>
    <row r="34" customFormat="false" ht="15" hidden="false" customHeight="false" outlineLevel="0" collapsed="false">
      <c r="A34" s="35" t="s">
        <v>218</v>
      </c>
      <c r="B34" s="17" t="s">
        <v>205</v>
      </c>
      <c r="C34" s="31" t="n">
        <f aca="false">0</f>
        <v>0</v>
      </c>
      <c r="D34" s="31" t="n">
        <f aca="false">IF(AND(1&lt;=Assumptions!$D$49,D32&gt;0),-(PMT(Assumptions!$D$48,Assumptions!$D$49,-Assumptions!$D$66)-(-D33)),0)</f>
        <v>-61661.2135804386</v>
      </c>
      <c r="E34" s="31" t="n">
        <f aca="false">IF(AND(2&lt;=Assumptions!$D$49,E32&gt;0),-(PMT(Assumptions!$D$48,Assumptions!$D$49,-Assumptions!$D$66)-(-E33)),0)</f>
        <v>-64435.9681915583</v>
      </c>
      <c r="F34" s="31" t="n">
        <f aca="false">IF(AND(3&lt;=Assumptions!$D$49,F32&gt;0),-(PMT(Assumptions!$D$48,Assumptions!$D$49,-Assumptions!$D$66)-(-F33)),0)</f>
        <v>-67335.5867601784</v>
      </c>
      <c r="G34" s="31" t="n">
        <f aca="false">IF(AND(4&lt;=Assumptions!$D$49,G32&gt;0),-(PMT(Assumptions!$D$48,Assumptions!$D$49,-Assumptions!$D$66)-(-G33)),0)</f>
        <v>-70365.6881643865</v>
      </c>
      <c r="H34" s="31" t="n">
        <f aca="false">IF(AND(5&lt;=Assumptions!$D$49,H32&gt;0),-(PMT(Assumptions!$D$48,Assumptions!$D$49,-Assumptions!$D$66)-(-H33)),0)</f>
        <v>-73532.1441317839</v>
      </c>
      <c r="I34" s="31" t="n">
        <f aca="false">IF(AND(6&lt;=Assumptions!$D$49,I32&gt;0),-(PMT(Assumptions!$D$48,Assumptions!$D$49,-Assumptions!$D$66)-(-I33)),0)</f>
        <v>-76841.0906177141</v>
      </c>
      <c r="J34" s="31" t="n">
        <f aca="false">IF(AND(7&lt;=Assumptions!$D$49,J32&gt;0),-(PMT(Assumptions!$D$48,Assumptions!$D$49,-Assumptions!$D$66)-(-J33)),0)</f>
        <v>-80298.9396955113</v>
      </c>
      <c r="K34" s="31" t="n">
        <f aca="false">IF(AND(8&lt;=Assumptions!$D$49,K32&gt;0),-(PMT(Assumptions!$D$48,Assumptions!$D$49,-Assumptions!$D$66)-(-K33)),0)</f>
        <v>-83912.3919818093</v>
      </c>
      <c r="L34" s="31" t="n">
        <f aca="false">IF(AND(9&lt;=Assumptions!$D$49,L32&gt;0),-(PMT(Assumptions!$D$48,Assumptions!$D$49,-Assumptions!$D$66)-(-L33)),0)</f>
        <v>-87688.4496209907</v>
      </c>
      <c r="M34" s="31" t="n">
        <f aca="false">IF(AND(10&lt;=Assumptions!$D$49,M32&gt;0),-(PMT(Assumptions!$D$48,Assumptions!$D$49,-Assumptions!$D$66)-(-M33)),0)</f>
        <v>-91634.4298539353</v>
      </c>
      <c r="N34" s="31" t="n">
        <f aca="false">IF(AND(11&lt;=Assumptions!$D$49,N32&gt;0),-(PMT(Assumptions!$D$48,Assumptions!$D$49,-Assumptions!$D$66)-(-N33)),0)</f>
        <v>-95757.9791973624</v>
      </c>
      <c r="O34" s="31" t="n">
        <f aca="false">IF(AND(12&lt;=Assumptions!$D$49,O32&gt;0),-(PMT(Assumptions!$D$48,Assumptions!$D$49,-Assumptions!$D$66)-(-O33)),0)</f>
        <v>-100067.088261244</v>
      </c>
      <c r="P34" s="31" t="n">
        <f aca="false">IF(AND(13&lt;=Assumptions!$D$49,P32&gt;0),-(PMT(Assumptions!$D$48,Assumptions!$D$49,-Assumptions!$D$66)-(-P33)),0)</f>
        <v>-104570.107233</v>
      </c>
      <c r="Q34" s="31" t="n">
        <f aca="false">IF(AND(14&lt;=Assumptions!$D$49,Q32&gt;0),-(PMT(Assumptions!$D$48,Assumptions!$D$49,-Assumptions!$D$66)-(-Q33)),0)</f>
        <v>-109275.762058485</v>
      </c>
      <c r="R34" s="31" t="n">
        <f aca="false">IF(AND(15&lt;=Assumptions!$D$49,R32&gt;0),-(PMT(Assumptions!$D$48,Assumptions!$D$49,-Assumptions!$D$66)-(-R33)),0)</f>
        <v>-114193.171351116</v>
      </c>
      <c r="S34" s="31" t="n">
        <f aca="false">IF(AND(16&lt;=Assumptions!$D$49,S32&gt;0),-(PMT(Assumptions!$D$48,Assumptions!$D$49,-Assumptions!$D$66)-(-S33)),0)</f>
        <v>-119331.864061917</v>
      </c>
      <c r="T34" s="31" t="n">
        <f aca="false">IF(AND(17&lt;=Assumptions!$D$49,T32&gt;0),-(PMT(Assumptions!$D$48,Assumptions!$D$49,-Assumptions!$D$66)-(-T33)),0)</f>
        <v>-124701.797944703</v>
      </c>
      <c r="U34" s="31" t="n">
        <f aca="false">IF(AND(18&lt;=Assumptions!$D$49,U32&gt;0),-(PMT(Assumptions!$D$48,Assumptions!$D$49,-Assumptions!$D$66)-(-U33)),0)</f>
        <v>-130313.378852215</v>
      </c>
      <c r="V34" s="31" t="n">
        <f aca="false">IF(AND(19&lt;=Assumptions!$D$49,V32&gt;0),-(PMT(Assumptions!$D$48,Assumptions!$D$49,-Assumptions!$D$66)-(-V33)),0)</f>
        <v>-136177.480900564</v>
      </c>
      <c r="W34" s="31" t="n">
        <f aca="false">IF(AND(20&lt;=Assumptions!$D$49,W32&gt;0),-(PMT(Assumptions!$D$48,Assumptions!$D$49,-Assumptions!$D$66)-(-W33)),0)</f>
        <v>-142305.46754109</v>
      </c>
      <c r="X34" s="31" t="n">
        <f aca="false">IF(AND(21&lt;=Assumptions!$D$49,X32&gt;0),-(PMT(Assumptions!$D$48,Assumptions!$D$49,-Assumptions!$D$66)-(-X33)),0)</f>
        <v>0</v>
      </c>
      <c r="Y34" s="31" t="n">
        <f aca="false">IF(AND(22&lt;=Assumptions!$D$49,Y32&gt;0),-(PMT(Assumptions!$D$48,Assumptions!$D$49,-Assumptions!$D$66)-(-Y33)),0)</f>
        <v>0</v>
      </c>
      <c r="Z34" s="31" t="n">
        <f aca="false">IF(AND(23&lt;=Assumptions!$D$49,Z32&gt;0),-(PMT(Assumptions!$D$48,Assumptions!$D$49,-Assumptions!$D$66)-(-Z33)),0)</f>
        <v>0</v>
      </c>
      <c r="AA34" s="31" t="n">
        <f aca="false">IF(AND(24&lt;=Assumptions!$D$49,AA32&gt;0),-(PMT(Assumptions!$D$48,Assumptions!$D$49,-Assumptions!$D$66)-(-AA33)),0)</f>
        <v>0</v>
      </c>
      <c r="AB34" s="31" t="n">
        <f aca="false">IF(AND(25&lt;=Assumptions!$D$49,AB32&gt;0),-(PMT(Assumptions!$D$48,Assumptions!$D$49,-Assumptions!$D$66)-(-AB33)),0)</f>
        <v>0</v>
      </c>
      <c r="AC34" s="31" t="n">
        <f aca="false">IF(AND(26&lt;=Assumptions!$D$49,AC32&gt;0),-(PMT(Assumptions!$D$48,Assumptions!$D$49,-Assumptions!$D$66)-(-AC33)),0)</f>
        <v>0</v>
      </c>
      <c r="AD34" s="31" t="n">
        <f aca="false">IF(AND(27&lt;=Assumptions!$D$49,AD32&gt;0),-(PMT(Assumptions!$D$48,Assumptions!$D$49,-Assumptions!$D$66)-(-AD33)),0)</f>
        <v>0</v>
      </c>
      <c r="AE34" s="31" t="n">
        <f aca="false">IF(AND(28&lt;=Assumptions!$D$49,AE32&gt;0),-(PMT(Assumptions!$D$48,Assumptions!$D$49,-Assumptions!$D$66)-(-AE33)),0)</f>
        <v>0</v>
      </c>
      <c r="AF34" s="31" t="n">
        <f aca="false">IF(AND(29&lt;=Assumptions!$D$49,AF32&gt;0),-(PMT(Assumptions!$D$48,Assumptions!$D$49,-Assumptions!$D$66)-(-AF33)),0)</f>
        <v>0</v>
      </c>
      <c r="AG34" s="31" t="n">
        <f aca="false">IF(AND(30&lt;=Assumptions!$D$49,AG32&gt;0),-(PMT(Assumptions!$D$48,Assumptions!$D$49,-Assumptions!$D$66)-(-AG33)),0)</f>
        <v>0</v>
      </c>
    </row>
    <row r="35" customFormat="false" ht="15" hidden="false" customHeight="false" outlineLevel="0" collapsed="false">
      <c r="A35" s="35" t="s">
        <v>219</v>
      </c>
      <c r="B35" s="17" t="s">
        <v>205</v>
      </c>
      <c r="C35" s="31" t="n">
        <f aca="false">0</f>
        <v>0</v>
      </c>
      <c r="D35" s="31" t="n">
        <f aca="false">D32+D34</f>
        <v>1872738.78641956</v>
      </c>
      <c r="E35" s="31" t="n">
        <f aca="false">E32+E34</f>
        <v>1808302.818228</v>
      </c>
      <c r="F35" s="31" t="n">
        <f aca="false">F32+F34</f>
        <v>1740967.23146783</v>
      </c>
      <c r="G35" s="31" t="n">
        <f aca="false">G32+G34</f>
        <v>1670601.54330344</v>
      </c>
      <c r="H35" s="31" t="n">
        <f aca="false">H32+H34</f>
        <v>1597069.39917165</v>
      </c>
      <c r="I35" s="31" t="n">
        <f aca="false">I32+I34</f>
        <v>1520228.30855394</v>
      </c>
      <c r="J35" s="31" t="n">
        <f aca="false">J32+J34</f>
        <v>1439929.36885843</v>
      </c>
      <c r="K35" s="31" t="n">
        <f aca="false">K32+K34</f>
        <v>1356016.97687662</v>
      </c>
      <c r="L35" s="31" t="n">
        <f aca="false">L32+L34</f>
        <v>1268328.52725563</v>
      </c>
      <c r="M35" s="31" t="n">
        <f aca="false">M32+M34</f>
        <v>1176694.09740169</v>
      </c>
      <c r="N35" s="31" t="n">
        <f aca="false">N32+N34</f>
        <v>1080936.11820433</v>
      </c>
      <c r="O35" s="31" t="n">
        <f aca="false">O32+O34</f>
        <v>980869.029943088</v>
      </c>
      <c r="P35" s="31" t="n">
        <f aca="false">P32+P34</f>
        <v>876298.922710088</v>
      </c>
      <c r="Q35" s="31" t="n">
        <f aca="false">Q32+Q34</f>
        <v>767023.160651604</v>
      </c>
      <c r="R35" s="31" t="n">
        <f aca="false">R32+R34</f>
        <v>652829.989300487</v>
      </c>
      <c r="S35" s="31" t="n">
        <f aca="false">S32+S34</f>
        <v>533498.125238571</v>
      </c>
      <c r="T35" s="31" t="n">
        <f aca="false">T32+T34</f>
        <v>408796.327293868</v>
      </c>
      <c r="U35" s="31" t="n">
        <f aca="false">U32+U34</f>
        <v>278482.948441653</v>
      </c>
      <c r="V35" s="31" t="n">
        <f aca="false">V32+V34</f>
        <v>142305.467541089</v>
      </c>
      <c r="W35" s="31" t="n">
        <f aca="false">W32+W34</f>
        <v>-6.40284270048142E-010</v>
      </c>
      <c r="X35" s="31" t="n">
        <f aca="false">X32+X34</f>
        <v>-6.40284270048142E-010</v>
      </c>
      <c r="Y35" s="31" t="n">
        <f aca="false">Y32+Y34</f>
        <v>-6.40284270048142E-010</v>
      </c>
      <c r="Z35" s="31" t="n">
        <f aca="false">Z32+Z34</f>
        <v>-6.40284270048142E-010</v>
      </c>
      <c r="AA35" s="31" t="n">
        <f aca="false">AA32+AA34</f>
        <v>-6.40284270048142E-010</v>
      </c>
      <c r="AB35" s="31" t="n">
        <f aca="false">AB32+AB34</f>
        <v>-6.40284270048142E-010</v>
      </c>
      <c r="AC35" s="31" t="n">
        <f aca="false">AC32+AC34</f>
        <v>-6.40284270048142E-010</v>
      </c>
      <c r="AD35" s="31" t="n">
        <f aca="false">AD32+AD34</f>
        <v>-6.40284270048142E-010</v>
      </c>
      <c r="AE35" s="31" t="n">
        <f aca="false">AE32+AE34</f>
        <v>-6.40284270048142E-010</v>
      </c>
      <c r="AF35" s="31" t="n">
        <f aca="false">AF32+AF34</f>
        <v>-6.40284270048142E-010</v>
      </c>
      <c r="AG35" s="31" t="n">
        <f aca="false">AG32+AG34</f>
        <v>-6.40284270048142E-010</v>
      </c>
    </row>
    <row r="37" customFormat="false" ht="15" hidden="false" customHeight="false" outlineLevel="0" collapsed="false">
      <c r="A37" s="35" t="s">
        <v>220</v>
      </c>
      <c r="B37" s="17" t="s">
        <v>205</v>
      </c>
      <c r="C37" s="31" t="n">
        <f aca="false">0</f>
        <v>0</v>
      </c>
      <c r="D37" s="31" t="n">
        <f aca="false">D28+D31+D33</f>
        <v>74821.9999999999</v>
      </c>
      <c r="E37" s="31" t="n">
        <f aca="false">E28+E31+E33</f>
        <v>81281.2446111197</v>
      </c>
      <c r="F37" s="31" t="n">
        <f aca="false">F28+F31+F33</f>
        <v>87912.1929057397</v>
      </c>
      <c r="G37" s="31" t="n">
        <f aca="false">G28+G31+G33</f>
        <v>94720.9637997403</v>
      </c>
      <c r="H37" s="31" t="n">
        <f aca="false">H28+H31+H33</f>
        <v>101713.932735049</v>
      </c>
      <c r="I37" s="31" t="n">
        <f aca="false">I28+I31+I33</f>
        <v>108897.743036251</v>
      </c>
      <c r="J37" s="31" t="n">
        <f aca="false">J28+J31+J33</f>
        <v>116279.317777376</v>
      </c>
      <c r="K37" s="31" t="n">
        <f aca="false">K28+K31+K33</f>
        <v>123865.872181841</v>
      </c>
      <c r="L37" s="31" t="n">
        <f aca="false">L28+L31+L33</f>
        <v>131664.926579569</v>
      </c>
      <c r="M37" s="31" t="n">
        <f aca="false">M28+M31+M33</f>
        <v>139684.319946383</v>
      </c>
      <c r="N37" s="31" t="n">
        <f aca="false">N28+N31+N33</f>
        <v>147932.224051911</v>
      </c>
      <c r="O37" s="31" t="n">
        <f aca="false">O28+O31+O33</f>
        <v>156417.158243408</v>
      </c>
      <c r="P37" s="31" t="n">
        <f aca="false">P28+P31+P33</f>
        <v>165148.004894147</v>
      </c>
      <c r="Q37" s="31" t="n">
        <f aca="false">Q28+Q31+Q33</f>
        <v>174134.02554631</v>
      </c>
      <c r="R37" s="31" t="n">
        <f aca="false">R28+R31+R33</f>
        <v>183384.877779681</v>
      </c>
      <c r="S37" s="31" t="n">
        <f aca="false">S28+S31+S33</f>
        <v>192910.632838817</v>
      </c>
      <c r="T37" s="31" t="n">
        <f aca="false">T28+T31+T33</f>
        <v>202721.794052877</v>
      </c>
      <c r="U37" s="31" t="n">
        <f aca="false">U28+U31+U33</f>
        <v>212829.316083822</v>
      </c>
      <c r="V37" s="31" t="n">
        <f aca="false">V28+V31+V33</f>
        <v>223244.625040279</v>
      </c>
      <c r="W37" s="31" t="n">
        <f aca="false">W28+W31+W33</f>
        <v>233979.639496098</v>
      </c>
      <c r="X37" s="31" t="n">
        <f aca="false">X28+X31+X33</f>
        <v>-11675.9960201763</v>
      </c>
      <c r="Y37" s="31" t="n">
        <f aca="false">Y28+Y31+Y33</f>
        <v>-15772.7032096848</v>
      </c>
      <c r="Z37" s="31" t="n">
        <f aca="false">Z28+Z31+Z33</f>
        <v>-19918.3206066381</v>
      </c>
      <c r="AA37" s="31" t="n">
        <f aca="false">AA28+AA31+AA33</f>
        <v>-24113.9915348666</v>
      </c>
      <c r="AB37" s="31" t="n">
        <f aca="false">AB28+AB31+AB33</f>
        <v>-28360.8813590792</v>
      </c>
      <c r="AC37" s="31" t="n">
        <f aca="false">AC28+AC31+AC33</f>
        <v>96299.8220701916</v>
      </c>
      <c r="AD37" s="31" t="n">
        <f aca="false">AD28+AD31+AD33</f>
        <v>91946.9079627655</v>
      </c>
      <c r="AE37" s="31" t="n">
        <f aca="false">AE28+AE31+AE33</f>
        <v>87539.142125935</v>
      </c>
      <c r="AF37" s="31" t="n">
        <f aca="false">AF28+AF31+AF33</f>
        <v>83075.2664923484</v>
      </c>
      <c r="AG37" s="31" t="n">
        <f aca="false">AG28+AG31+AG33</f>
        <v>48553.9986384705</v>
      </c>
    </row>
    <row r="38" customFormat="false" ht="15" hidden="false" customHeight="false" outlineLevel="0" collapsed="false">
      <c r="A38" s="35" t="s">
        <v>221</v>
      </c>
      <c r="B38" s="17" t="s">
        <v>205</v>
      </c>
      <c r="C38" s="31" t="n">
        <f aca="false">0</f>
        <v>0</v>
      </c>
      <c r="D38" s="31" t="n">
        <f aca="false">-MAX(0,D37)*Assumptions!$D$55</f>
        <v>-18705.5</v>
      </c>
      <c r="E38" s="31" t="n">
        <f aca="false">-MAX(0,E37)*Assumptions!$D$55</f>
        <v>-20320.3111527799</v>
      </c>
      <c r="F38" s="31" t="n">
        <f aca="false">-MAX(0,F37)*Assumptions!$D$55</f>
        <v>-21978.0482264349</v>
      </c>
      <c r="G38" s="31" t="n">
        <f aca="false">-MAX(0,G37)*Assumptions!$D$55</f>
        <v>-23680.2409499351</v>
      </c>
      <c r="H38" s="31" t="n">
        <f aca="false">-MAX(0,H37)*Assumptions!$D$55</f>
        <v>-25428.4831837621</v>
      </c>
      <c r="I38" s="31" t="n">
        <f aca="false">-MAX(0,I37)*Assumptions!$D$55</f>
        <v>-27224.4357590627</v>
      </c>
      <c r="J38" s="31" t="n">
        <f aca="false">-MAX(0,J37)*Assumptions!$D$55</f>
        <v>-29069.829444344</v>
      </c>
      <c r="K38" s="31" t="n">
        <f aca="false">-MAX(0,K37)*Assumptions!$D$55</f>
        <v>-30966.4680454603</v>
      </c>
      <c r="L38" s="31" t="n">
        <f aca="false">-MAX(0,L37)*Assumptions!$D$55</f>
        <v>-32916.2316448923</v>
      </c>
      <c r="M38" s="31" t="n">
        <f aca="false">-MAX(0,M37)*Assumptions!$D$55</f>
        <v>-34921.0799865957</v>
      </c>
      <c r="N38" s="31" t="n">
        <f aca="false">-MAX(0,N37)*Assumptions!$D$55</f>
        <v>-36983.0560129778</v>
      </c>
      <c r="O38" s="31" t="n">
        <f aca="false">-MAX(0,O37)*Assumptions!$D$55</f>
        <v>-39104.2895608521</v>
      </c>
      <c r="P38" s="31" t="n">
        <f aca="false">-MAX(0,P37)*Assumptions!$D$55</f>
        <v>-41287.0012235367</v>
      </c>
      <c r="Q38" s="31" t="n">
        <f aca="false">-MAX(0,Q37)*Assumptions!$D$55</f>
        <v>-43533.5063865775</v>
      </c>
      <c r="R38" s="31" t="n">
        <f aca="false">-MAX(0,R37)*Assumptions!$D$55</f>
        <v>-45846.2194449202</v>
      </c>
      <c r="S38" s="31" t="n">
        <f aca="false">-MAX(0,S37)*Assumptions!$D$55</f>
        <v>-48227.6582097041</v>
      </c>
      <c r="T38" s="31" t="n">
        <f aca="false">-MAX(0,T37)*Assumptions!$D$55</f>
        <v>-50680.4485132193</v>
      </c>
      <c r="U38" s="31" t="n">
        <f aca="false">-MAX(0,U37)*Assumptions!$D$55</f>
        <v>-53207.3290209555</v>
      </c>
      <c r="V38" s="31" t="n">
        <f aca="false">-MAX(0,V37)*Assumptions!$D$55</f>
        <v>-55811.1562600698</v>
      </c>
      <c r="W38" s="31" t="n">
        <f aca="false">-MAX(0,W37)*Assumptions!$D$55</f>
        <v>-58494.9098740244</v>
      </c>
      <c r="X38" s="31" t="n">
        <f aca="false">-MAX(0,X37)*Assumptions!$D$55</f>
        <v>-0</v>
      </c>
      <c r="Y38" s="31" t="n">
        <f aca="false">-MAX(0,Y37)*Assumptions!$D$55</f>
        <v>-0</v>
      </c>
      <c r="Z38" s="31" t="n">
        <f aca="false">-MAX(0,Z37)*Assumptions!$D$55</f>
        <v>-0</v>
      </c>
      <c r="AA38" s="31" t="n">
        <f aca="false">-MAX(0,AA37)*Assumptions!$D$55</f>
        <v>-0</v>
      </c>
      <c r="AB38" s="31" t="n">
        <f aca="false">-MAX(0,AB37)*Assumptions!$D$55</f>
        <v>-0</v>
      </c>
      <c r="AC38" s="31" t="n">
        <f aca="false">-MAX(0,AC37)*Assumptions!$D$55</f>
        <v>-24074.9555175479</v>
      </c>
      <c r="AD38" s="31" t="n">
        <f aca="false">-MAX(0,AD37)*Assumptions!$D$55</f>
        <v>-22986.7269906914</v>
      </c>
      <c r="AE38" s="31" t="n">
        <f aca="false">-MAX(0,AE37)*Assumptions!$D$55</f>
        <v>-21884.7855314837</v>
      </c>
      <c r="AF38" s="31" t="n">
        <f aca="false">-MAX(0,AF37)*Assumptions!$D$55</f>
        <v>-20768.8166230871</v>
      </c>
      <c r="AG38" s="31" t="n">
        <f aca="false">-MAX(0,AG37)*Assumptions!$D$55</f>
        <v>-12138.4996596176</v>
      </c>
    </row>
    <row r="39" customFormat="false" ht="15" hidden="false" customHeight="false" outlineLevel="0" collapsed="false">
      <c r="A39" s="35" t="s">
        <v>222</v>
      </c>
      <c r="B39" s="17" t="s">
        <v>205</v>
      </c>
      <c r="C39" s="31" t="n">
        <f aca="false">0</f>
        <v>0</v>
      </c>
      <c r="D39" s="31" t="n">
        <f aca="false">D37+D38</f>
        <v>56116.4999999999</v>
      </c>
      <c r="E39" s="31" t="n">
        <f aca="false">E37+E38</f>
        <v>60960.9334583397</v>
      </c>
      <c r="F39" s="31" t="n">
        <f aca="false">F37+F38</f>
        <v>65934.1446793048</v>
      </c>
      <c r="G39" s="31" t="n">
        <f aca="false">G37+G38</f>
        <v>71040.7228498052</v>
      </c>
      <c r="H39" s="31" t="n">
        <f aca="false">H37+H38</f>
        <v>76285.4495512864</v>
      </c>
      <c r="I39" s="31" t="n">
        <f aca="false">I37+I38</f>
        <v>81673.307277188</v>
      </c>
      <c r="J39" s="31" t="n">
        <f aca="false">J37+J38</f>
        <v>87209.4883330321</v>
      </c>
      <c r="K39" s="31" t="n">
        <f aca="false">K37+K38</f>
        <v>92899.404136381</v>
      </c>
      <c r="L39" s="31" t="n">
        <f aca="false">L37+L38</f>
        <v>98748.6949346768</v>
      </c>
      <c r="M39" s="31" t="n">
        <f aca="false">M37+M38</f>
        <v>104763.239959787</v>
      </c>
      <c r="N39" s="31" t="n">
        <f aca="false">N37+N38</f>
        <v>110949.168038933</v>
      </c>
      <c r="O39" s="31" t="n">
        <f aca="false">O37+O38</f>
        <v>117312.868682556</v>
      </c>
      <c r="P39" s="31" t="n">
        <f aca="false">P37+P38</f>
        <v>123861.00367061</v>
      </c>
      <c r="Q39" s="31" t="n">
        <f aca="false">Q37+Q38</f>
        <v>130600.519159732</v>
      </c>
      <c r="R39" s="31" t="n">
        <f aca="false">R37+R38</f>
        <v>137538.658334761</v>
      </c>
      <c r="S39" s="31" t="n">
        <f aca="false">S37+S38</f>
        <v>144682.974629112</v>
      </c>
      <c r="T39" s="31" t="n">
        <f aca="false">T37+T38</f>
        <v>152041.345539658</v>
      </c>
      <c r="U39" s="31" t="n">
        <f aca="false">U37+U38</f>
        <v>159621.987062866</v>
      </c>
      <c r="V39" s="31" t="n">
        <f aca="false">V37+V38</f>
        <v>167433.468780209</v>
      </c>
      <c r="W39" s="31" t="n">
        <f aca="false">W37+W38</f>
        <v>175484.729622073</v>
      </c>
      <c r="X39" s="31" t="n">
        <f aca="false">X37+X38</f>
        <v>-11675.9960201763</v>
      </c>
      <c r="Y39" s="31" t="n">
        <f aca="false">Y37+Y38</f>
        <v>-15772.7032096848</v>
      </c>
      <c r="Z39" s="31" t="n">
        <f aca="false">Z37+Z38</f>
        <v>-19918.3206066381</v>
      </c>
      <c r="AA39" s="31" t="n">
        <f aca="false">AA37+AA38</f>
        <v>-24113.9915348666</v>
      </c>
      <c r="AB39" s="31" t="n">
        <f aca="false">AB37+AB38</f>
        <v>-28360.8813590792</v>
      </c>
      <c r="AC39" s="31" t="n">
        <f aca="false">AC37+AC38</f>
        <v>72224.8665526437</v>
      </c>
      <c r="AD39" s="31" t="n">
        <f aca="false">AD37+AD38</f>
        <v>68960.1809720741</v>
      </c>
      <c r="AE39" s="31" t="n">
        <f aca="false">AE37+AE38</f>
        <v>65654.3565944512</v>
      </c>
      <c r="AF39" s="31" t="n">
        <f aca="false">AF37+AF38</f>
        <v>62306.4498692613</v>
      </c>
      <c r="AG39" s="31" t="n">
        <f aca="false">AG37+AG38</f>
        <v>36415.4989788529</v>
      </c>
    </row>
    <row r="41" customFormat="false" ht="19.5" hidden="false" customHeight="true" outlineLevel="0" collapsed="false">
      <c r="A41" s="15" t="s">
        <v>223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customFormat="false" ht="15" hidden="false" customHeight="false" outlineLevel="0" collapsed="false">
      <c r="A42" s="36" t="s">
        <v>224</v>
      </c>
      <c r="B42" s="17" t="s">
        <v>205</v>
      </c>
      <c r="C42" s="29" t="n">
        <f aca="false">0</f>
        <v>0</v>
      </c>
      <c r="D42" s="29" t="n">
        <f aca="false">D28+D38</f>
        <v>272124.5</v>
      </c>
      <c r="E42" s="29" t="n">
        <f aca="false">E28+E38</f>
        <v>274194.17884722</v>
      </c>
      <c r="F42" s="29" t="n">
        <f aca="false">F28+F38</f>
        <v>276267.771499565</v>
      </c>
      <c r="G42" s="29" t="n">
        <f aca="false">G28+G38</f>
        <v>278344.248265857</v>
      </c>
      <c r="H42" s="29" t="n">
        <f aca="false">H28+H38</f>
        <v>280422.518999941</v>
      </c>
      <c r="I42" s="29" t="n">
        <f aca="false">I28+I38</f>
        <v>282501.430239913</v>
      </c>
      <c r="J42" s="29" t="n">
        <f aca="false">J28+J38</f>
        <v>284579.76221796</v>
      </c>
      <c r="K42" s="29" t="n">
        <f aca="false">K28+K38</f>
        <v>286656.22573501</v>
      </c>
      <c r="L42" s="29" t="n">
        <f aca="false">L28+L38</f>
        <v>288729.458894125</v>
      </c>
      <c r="M42" s="29" t="n">
        <f aca="false">M28+M38</f>
        <v>290798.023686291</v>
      </c>
      <c r="N42" s="29" t="n">
        <f aca="false">N28+N38</f>
        <v>292860.40242201</v>
      </c>
      <c r="O42" s="29" t="n">
        <f aca="false">O28+O38</f>
        <v>294914.994001751</v>
      </c>
      <c r="P42" s="29" t="n">
        <f aca="false">P28+P38</f>
        <v>296960.110018049</v>
      </c>
      <c r="Q42" s="29" t="n">
        <f aca="false">Q28+Q38</f>
        <v>298993.970681686</v>
      </c>
      <c r="R42" s="29" t="n">
        <f aca="false">R28+R38</f>
        <v>301014.700564083</v>
      </c>
      <c r="S42" s="29" t="n">
        <f aca="false">S28+S38</f>
        <v>303020.324147634</v>
      </c>
      <c r="T42" s="29" t="n">
        <f aca="false">T28+T38</f>
        <v>305008.761175394</v>
      </c>
      <c r="U42" s="29" t="n">
        <f aca="false">U28+U38</f>
        <v>306977.821791091</v>
      </c>
      <c r="V42" s="29" t="n">
        <f aca="false">V28+V38</f>
        <v>308925.201460084</v>
      </c>
      <c r="W42" s="29" t="n">
        <f aca="false">W28+W38</f>
        <v>310848.475661422</v>
      </c>
      <c r="X42" s="29" t="n">
        <f aca="false">X28+X38</f>
        <v>117284.003979824</v>
      </c>
      <c r="Y42" s="29" t="n">
        <f aca="false">Y28+Y38</f>
        <v>113187.296790315</v>
      </c>
      <c r="Z42" s="29" t="n">
        <f aca="false">Z28+Z38</f>
        <v>109041.679393362</v>
      </c>
      <c r="AA42" s="29" t="n">
        <f aca="false">AA28+AA38</f>
        <v>104846.008465133</v>
      </c>
      <c r="AB42" s="29" t="n">
        <f aca="false">AB28+AB38</f>
        <v>100599.118640921</v>
      </c>
      <c r="AC42" s="29" t="n">
        <f aca="false">AC28+AC38</f>
        <v>72224.8665526437</v>
      </c>
      <c r="AD42" s="29" t="n">
        <f aca="false">AD28+AD38</f>
        <v>68960.1809720741</v>
      </c>
      <c r="AE42" s="29" t="n">
        <f aca="false">AE28+AE38</f>
        <v>65654.3565944512</v>
      </c>
      <c r="AF42" s="29" t="n">
        <f aca="false">AF28+AF38</f>
        <v>62306.4498692613</v>
      </c>
      <c r="AG42" s="29" t="n">
        <f aca="false">AG28+AG38</f>
        <v>36415.4989788529</v>
      </c>
    </row>
    <row r="43" customFormat="false" ht="15" hidden="false" customHeight="false" outlineLevel="0" collapsed="false">
      <c r="A43" s="35" t="s">
        <v>225</v>
      </c>
      <c r="B43" s="17" t="s">
        <v>226</v>
      </c>
      <c r="C43" s="39" t="n">
        <f aca="false">0</f>
        <v>0</v>
      </c>
      <c r="D43" s="39" t="n">
        <f aca="false">IFERROR(IF((D33+D34)=0,0,D42/(-(D33+D34))),0)</f>
        <v>1.82991015450972</v>
      </c>
      <c r="E43" s="39" t="n">
        <f aca="false">IFERROR(IF((E33+E34)=0,0,E42/(-(E33+E34))),0)</f>
        <v>1.84382777802066</v>
      </c>
      <c r="F43" s="39" t="n">
        <f aca="false">IFERROR(IF((F33+F34)=0,0,F42/(-(F33+F34))),0)</f>
        <v>1.85777172004294</v>
      </c>
      <c r="G43" s="39" t="n">
        <f aca="false">IFERROR(IF((G33+G34)=0,0,G42/(-(G33+G34))),0)</f>
        <v>1.87173505638437</v>
      </c>
      <c r="H43" s="39" t="n">
        <f aca="false">IFERROR(IF((H33+H34)=0,0,H42/(-(H33+H34))),0)</f>
        <v>1.88571045632124</v>
      </c>
      <c r="I43" s="39" t="n">
        <f aca="false">IFERROR(IF((I33+I34)=0,0,I42/(-(I33+I34))),0)</f>
        <v>1.89969016336102</v>
      </c>
      <c r="J43" s="39" t="n">
        <f aca="false">IFERROR(IF((J33+J34)=0,0,J42/(-(J33+J34))),0)</f>
        <v>1.91366597513494</v>
      </c>
      <c r="K43" s="39" t="n">
        <f aca="false">IFERROR(IF((K33+K34)=0,0,K42/(-(K33+K34))),0)</f>
        <v>1.9276292223814</v>
      </c>
      <c r="L43" s="39" t="n">
        <f aca="false">IFERROR(IF((L33+L34)=0,0,L42/(-(L33+L34))),0)</f>
        <v>1.94157074697963</v>
      </c>
      <c r="M43" s="39" t="n">
        <f aca="false">IFERROR(IF((M33+M34)=0,0,M42/(-(M33+M34))),0)</f>
        <v>1.95548087899069</v>
      </c>
      <c r="N43" s="39" t="n">
        <f aca="false">IFERROR(IF((N33+N34)=0,0,N42/(-(N33+N34))),0)</f>
        <v>1.96934941266163</v>
      </c>
      <c r="O43" s="39" t="n">
        <f aca="false">IFERROR(IF((O33+O34)=0,0,O42/(-(O33+O34))),0)</f>
        <v>1.98316558134596</v>
      </c>
      <c r="P43" s="39" t="n">
        <f aca="false">IFERROR(IF((P33+P34)=0,0,P42/(-(P33+P34))),0)</f>
        <v>1.99691803129212</v>
      </c>
      <c r="Q43" s="39" t="n">
        <f aca="false">IFERROR(IF((Q33+Q34)=0,0,Q42/(-(Q33+Q34))),0)</f>
        <v>2.01059479424896</v>
      </c>
      <c r="R43" s="39" t="n">
        <f aca="false">IFERROR(IF((R33+R34)=0,0,R42/(-(R33+R34))),0)</f>
        <v>2.02418325883527</v>
      </c>
      <c r="S43" s="39" t="n">
        <f aca="false">IFERROR(IF((S33+S34)=0,0,S42/(-(S33+S34))),0)</f>
        <v>2.03767014061793</v>
      </c>
      <c r="T43" s="39" t="n">
        <f aca="false">IFERROR(IF((T33+T34)=0,0,T42/(-(T33+T34))),0)</f>
        <v>2.05104145084064</v>
      </c>
      <c r="U43" s="39" t="n">
        <f aca="false">IFERROR(IF((U33+U34)=0,0,U42/(-(U33+U34))),0)</f>
        <v>2.06428246374286</v>
      </c>
      <c r="V43" s="39" t="n">
        <f aca="false">IFERROR(IF((V33+V34)=0,0,V42/(-(V33+V34))),0)</f>
        <v>2.07737768240555</v>
      </c>
      <c r="W43" s="39" t="n">
        <f aca="false">IFERROR(IF((W33+W34)=0,0,W42/(-(W33+W34))),0)</f>
        <v>2.09031080305781</v>
      </c>
      <c r="X43" s="39" t="n">
        <f aca="false">IFERROR(IF((X33+X34)=0,0,X42/(-(X33+X34))),0)</f>
        <v>-4070553223735570</v>
      </c>
      <c r="Y43" s="39" t="n">
        <f aca="false">IFERROR(IF((Y33+Y34)=0,0,Y42/(-(Y33+Y34))),0)</f>
        <v>-3928369600299390</v>
      </c>
      <c r="Z43" s="39" t="n">
        <f aca="false">IFERROR(IF((Z33+Z34)=0,0,Z42/(-(Z33+Z34))),0)</f>
        <v>-3784488459760860</v>
      </c>
      <c r="AA43" s="39" t="n">
        <f aca="false">IFERROR(IF((AA33+AA34)=0,0,AA42/(-(AA33+AA34))),0)</f>
        <v>-3638870121001108</v>
      </c>
      <c r="AB43" s="39" t="n">
        <f aca="false">IFERROR(IF((AB33+AB34)=0,0,AB42/(-(AB33+AB34))),0)</f>
        <v>-3491474137932760</v>
      </c>
      <c r="AC43" s="39" t="n">
        <f aca="false">IFERROR(IF((AC33+AC34)=0,0,AC42/(-(AC33+AC34))),0)</f>
        <v>-2506694463042980</v>
      </c>
      <c r="AD43" s="39" t="n">
        <f aca="false">IFERROR(IF((AD33+AD34)=0,0,AD42/(-(AD33+AD34))),0)</f>
        <v>-2393387652535755</v>
      </c>
      <c r="AE43" s="39" t="n">
        <f aca="false">IFERROR(IF((AE33+AE34)=0,0,AE42/(-(AE33+AE34))),0)</f>
        <v>-2278653045762340</v>
      </c>
      <c r="AF43" s="39" t="n">
        <f aca="false">IFERROR(IF((AF33+AF34)=0,0,AF42/(-(AF33+AF34))),0)</f>
        <v>-2162457895097700</v>
      </c>
      <c r="AG43" s="39" t="n">
        <f aca="false">IFERROR(IF((AG33+AG34)=0,0,AG42/(-(AG33+AG34))),0)</f>
        <v>-1263865674195510</v>
      </c>
    </row>
    <row r="45" customFormat="false" ht="15" hidden="false" customHeight="false" outlineLevel="0" collapsed="false">
      <c r="A45" s="35" t="s">
        <v>227</v>
      </c>
      <c r="B45" s="17" t="s">
        <v>205</v>
      </c>
      <c r="C45" s="31" t="n">
        <f aca="false">-Assumptions!$D$64</f>
        <v>-3224000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H45" s="31" t="n">
        <f aca="false">0</f>
        <v>0</v>
      </c>
      <c r="I45" s="31" t="n">
        <f aca="false">0</f>
        <v>0</v>
      </c>
      <c r="J45" s="31" t="n">
        <f aca="false">0</f>
        <v>0</v>
      </c>
      <c r="K45" s="31" t="n">
        <f aca="false">0</f>
        <v>0</v>
      </c>
      <c r="L45" s="31" t="n">
        <f aca="false">0</f>
        <v>0</v>
      </c>
      <c r="M45" s="31" t="n">
        <f aca="false">0</f>
        <v>0</v>
      </c>
      <c r="N45" s="31" t="n">
        <f aca="false">0</f>
        <v>0</v>
      </c>
      <c r="O45" s="31" t="n">
        <f aca="false">0</f>
        <v>0</v>
      </c>
      <c r="P45" s="31" t="n">
        <f aca="false">0</f>
        <v>0</v>
      </c>
      <c r="Q45" s="31" t="n">
        <f aca="false">0</f>
        <v>0</v>
      </c>
      <c r="R45" s="31" t="n">
        <f aca="false">0</f>
        <v>0</v>
      </c>
      <c r="S45" s="31" t="n">
        <f aca="false">0</f>
        <v>0</v>
      </c>
      <c r="T45" s="31" t="n">
        <f aca="false">0</f>
        <v>0</v>
      </c>
      <c r="U45" s="31" t="n">
        <f aca="false">0</f>
        <v>0</v>
      </c>
      <c r="V45" s="31" t="n">
        <f aca="false">0</f>
        <v>0</v>
      </c>
      <c r="W45" s="31" t="n">
        <f aca="false">0</f>
        <v>0</v>
      </c>
      <c r="X45" s="31" t="n">
        <f aca="false">0</f>
        <v>0</v>
      </c>
      <c r="Y45" s="31" t="n">
        <f aca="false">0</f>
        <v>0</v>
      </c>
      <c r="Z45" s="31" t="n">
        <f aca="false">0</f>
        <v>0</v>
      </c>
      <c r="AA45" s="31" t="n">
        <f aca="false">0</f>
        <v>0</v>
      </c>
      <c r="AB45" s="31" t="n">
        <f aca="false">0</f>
        <v>0</v>
      </c>
      <c r="AC45" s="31" t="n">
        <f aca="false">0</f>
        <v>0</v>
      </c>
      <c r="AD45" s="31" t="n">
        <f aca="false">0</f>
        <v>0</v>
      </c>
      <c r="AE45" s="31" t="n">
        <f aca="false">0</f>
        <v>0</v>
      </c>
      <c r="AF45" s="31" t="n">
        <f aca="false">0</f>
        <v>0</v>
      </c>
      <c r="AG45" s="31" t="n">
        <f aca="false">0</f>
        <v>0</v>
      </c>
    </row>
    <row r="46" customFormat="false" ht="15" hidden="false" customHeight="false" outlineLevel="0" collapsed="false">
      <c r="A46" s="36" t="s">
        <v>228</v>
      </c>
      <c r="B46" s="17" t="s">
        <v>205</v>
      </c>
      <c r="C46" s="29" t="n">
        <f aca="false">C45</f>
        <v>-3224000</v>
      </c>
      <c r="D46" s="29" t="n">
        <f aca="false">D28-MAX(0,D28+D31)*Assumptions!$D$55</f>
        <v>250362.5</v>
      </c>
      <c r="E46" s="29" t="n">
        <f aca="false">E28-MAX(0,E28+E31)*Assumptions!$D$55</f>
        <v>253125.8675</v>
      </c>
      <c r="F46" s="29" t="n">
        <f aca="false">F28-MAX(0,F28+F31)*Assumptions!$D$55</f>
        <v>255924.3647945</v>
      </c>
      <c r="G46" s="29" t="n">
        <f aca="false">G28-MAX(0,G28+G31)*Assumptions!$D$55</f>
        <v>258758.366911844</v>
      </c>
      <c r="H46" s="29" t="n">
        <f aca="false">H28-MAX(0,H28+H31)*Assumptions!$D$55</f>
        <v>261628.251637778</v>
      </c>
      <c r="I46" s="29" t="n">
        <f aca="false">I28-MAX(0,I28+I31)*Assumptions!$D$55</f>
        <v>264534.399499231</v>
      </c>
      <c r="J46" s="29" t="n">
        <f aca="false">J28-MAX(0,J28+J31)*Assumptions!$D$55</f>
        <v>267477.193746728</v>
      </c>
      <c r="K46" s="29" t="n">
        <f aca="false">K28-MAX(0,K28+K31)*Assumptions!$D$55</f>
        <v>270457.020335353</v>
      </c>
      <c r="L46" s="29" t="n">
        <f aca="false">L28-MAX(0,L28+L31)*Assumptions!$D$55</f>
        <v>273474.267904263</v>
      </c>
      <c r="M46" s="29" t="n">
        <f aca="false">M28-MAX(0,M28+M31)*Assumptions!$D$55</f>
        <v>276529.327754665</v>
      </c>
      <c r="N46" s="29" t="n">
        <f aca="false">N28-MAX(0,N28+N31)*Assumptions!$D$55</f>
        <v>279622.593826241</v>
      </c>
      <c r="O46" s="29" t="n">
        <f aca="false">O28-MAX(0,O28+O31)*Assumptions!$D$55</f>
        <v>282754.462671953</v>
      </c>
      <c r="P46" s="29" t="n">
        <f aca="false">P28-MAX(0,P28+P31)*Assumptions!$D$55</f>
        <v>285925.333431189</v>
      </c>
      <c r="Q46" s="29" t="n">
        <f aca="false">Q28-MAX(0,Q28+Q31)*Assumptions!$D$55</f>
        <v>289135.607801198</v>
      </c>
      <c r="R46" s="29" t="n">
        <f aca="false">R28-MAX(0,R28+R31)*Assumptions!$D$55</f>
        <v>292385.690006752</v>
      </c>
      <c r="S46" s="29" t="n">
        <f aca="false">S28-MAX(0,S28+S31)*Assumptions!$D$55</f>
        <v>295675.986768004</v>
      </c>
      <c r="T46" s="29" t="n">
        <f aca="false">T28-MAX(0,T28+T31)*Assumptions!$D$55</f>
        <v>299006.90726646</v>
      </c>
      <c r="U46" s="29" t="n">
        <f aca="false">U28-MAX(0,U28+U31)*Assumptions!$D$55</f>
        <v>302378.863109035</v>
      </c>
      <c r="V46" s="29" t="n">
        <f aca="false">V28-MAX(0,V28+V31)*Assumptions!$D$55</f>
        <v>305792.268290115</v>
      </c>
      <c r="W46" s="29" t="n">
        <f aca="false">W28-MAX(0,W28+W31)*Assumptions!$D$55</f>
        <v>309247.539151585</v>
      </c>
      <c r="X46" s="29" t="n">
        <f aca="false">X28-MAX(0,X28+X31)*Assumptions!$D$55</f>
        <v>117284.003979824</v>
      </c>
      <c r="Y46" s="29" t="n">
        <f aca="false">Y28-MAX(0,Y28+Y31)*Assumptions!$D$55</f>
        <v>113187.296790315</v>
      </c>
      <c r="Z46" s="29" t="n">
        <f aca="false">Z28-MAX(0,Z28+Z31)*Assumptions!$D$55</f>
        <v>109041.679393362</v>
      </c>
      <c r="AA46" s="29" t="n">
        <f aca="false">AA28-MAX(0,AA28+AA31)*Assumptions!$D$55</f>
        <v>104846.008465133</v>
      </c>
      <c r="AB46" s="29" t="n">
        <f aca="false">AB28-MAX(0,AB28+AB31)*Assumptions!$D$55</f>
        <v>100599.118640921</v>
      </c>
      <c r="AC46" s="29" t="n">
        <f aca="false">AC28-MAX(0,AC28+AC31)*Assumptions!$D$55</f>
        <v>72224.8665526437</v>
      </c>
      <c r="AD46" s="29" t="n">
        <f aca="false">AD28-MAX(0,AD28+AD31)*Assumptions!$D$55</f>
        <v>68960.1809720741</v>
      </c>
      <c r="AE46" s="29" t="n">
        <f aca="false">AE28-MAX(0,AE28+AE31)*Assumptions!$D$55</f>
        <v>65654.3565944512</v>
      </c>
      <c r="AF46" s="29" t="n">
        <f aca="false">AF28-MAX(0,AF28+AF31)*Assumptions!$D$55</f>
        <v>62306.4498692613</v>
      </c>
      <c r="AG46" s="29" t="n">
        <f aca="false">AG28-MAX(0,AG28+AG31)*Assumptions!$D$55</f>
        <v>36415.4989788529</v>
      </c>
    </row>
    <row r="47" customFormat="false" ht="15" hidden="false" customHeight="false" outlineLevel="0" collapsed="false">
      <c r="A47" s="36" t="s">
        <v>229</v>
      </c>
      <c r="B47" s="17" t="s">
        <v>205</v>
      </c>
      <c r="C47" s="29" t="n">
        <f aca="false">-(Assumptions!$D$67+Assumptions!$D$68)</f>
        <v>-1289600</v>
      </c>
      <c r="D47" s="29" t="n">
        <f aca="false">D39-D31+D34</f>
        <v>123415.286419561</v>
      </c>
      <c r="E47" s="29" t="n">
        <f aca="false">E39-E31+E34</f>
        <v>125484.965266781</v>
      </c>
      <c r="F47" s="29" t="n">
        <f aca="false">F39-F31+F34</f>
        <v>127558.557919126</v>
      </c>
      <c r="G47" s="29" t="n">
        <f aca="false">G39-G31+G34</f>
        <v>129635.034685419</v>
      </c>
      <c r="H47" s="29" t="n">
        <f aca="false">H39-H31+H34</f>
        <v>131713.305419503</v>
      </c>
      <c r="I47" s="29" t="n">
        <f aca="false">I39-I31+I34</f>
        <v>133792.216659474</v>
      </c>
      <c r="J47" s="29" t="n">
        <f aca="false">J39-J31+J34</f>
        <v>135870.548637521</v>
      </c>
      <c r="K47" s="29" t="n">
        <f aca="false">K39-K31+K34</f>
        <v>137947.012154572</v>
      </c>
      <c r="L47" s="29" t="n">
        <f aca="false">L39-L31+L34</f>
        <v>140020.245313686</v>
      </c>
      <c r="M47" s="29" t="n">
        <f aca="false">M39-M31+M34</f>
        <v>142088.810105852</v>
      </c>
      <c r="N47" s="29" t="n">
        <f aca="false">N39-N31+N34</f>
        <v>144151.188841571</v>
      </c>
      <c r="O47" s="29" t="n">
        <f aca="false">O39-O31+O34</f>
        <v>146205.780421313</v>
      </c>
      <c r="P47" s="29" t="n">
        <f aca="false">P39-P31+P34</f>
        <v>148250.89643761</v>
      </c>
      <c r="Q47" s="29" t="n">
        <f aca="false">Q39-Q31+Q34</f>
        <v>150284.757101248</v>
      </c>
      <c r="R47" s="29" t="n">
        <f aca="false">R39-R31+R34</f>
        <v>152305.486983644</v>
      </c>
      <c r="S47" s="29" t="n">
        <f aca="false">S39-S31+S34</f>
        <v>154311.110567196</v>
      </c>
      <c r="T47" s="29" t="n">
        <f aca="false">T39-T31+T34</f>
        <v>156299.547594955</v>
      </c>
      <c r="U47" s="29" t="n">
        <f aca="false">U39-U31+U34</f>
        <v>158268.608210652</v>
      </c>
      <c r="V47" s="29" t="n">
        <f aca="false">V39-V31+V34</f>
        <v>160215.987879645</v>
      </c>
      <c r="W47" s="29" t="n">
        <f aca="false">W39-W31+W34</f>
        <v>162139.262080984</v>
      </c>
      <c r="X47" s="29" t="n">
        <f aca="false">X39-X31+X34</f>
        <v>117284.003979824</v>
      </c>
      <c r="Y47" s="29" t="n">
        <f aca="false">Y39-Y31+Y34</f>
        <v>113187.296790315</v>
      </c>
      <c r="Z47" s="29" t="n">
        <f aca="false">Z39-Z31+Z34</f>
        <v>109041.679393362</v>
      </c>
      <c r="AA47" s="29" t="n">
        <f aca="false">AA39-AA31+AA34</f>
        <v>104846.008465133</v>
      </c>
      <c r="AB47" s="29" t="n">
        <f aca="false">AB39-AB31+AB34</f>
        <v>100599.118640921</v>
      </c>
      <c r="AC47" s="29" t="n">
        <f aca="false">AC39-AC31+AC34</f>
        <v>72224.8665526437</v>
      </c>
      <c r="AD47" s="29" t="n">
        <f aca="false">AD39-AD31+AD34</f>
        <v>68960.1809720741</v>
      </c>
      <c r="AE47" s="29" t="n">
        <f aca="false">AE39-AE31+AE34</f>
        <v>65654.3565944512</v>
      </c>
      <c r="AF47" s="29" t="n">
        <f aca="false">AF39-AF31+AF34</f>
        <v>62306.4498692613</v>
      </c>
      <c r="AG47" s="29" t="n">
        <f aca="false">AG39-AG31+AG34</f>
        <v>36415.4989788529</v>
      </c>
    </row>
    <row r="48" customFormat="false" ht="15" hidden="false" customHeight="false" outlineLevel="0" collapsed="false">
      <c r="A48" s="35" t="s">
        <v>230</v>
      </c>
      <c r="B48" s="17" t="s">
        <v>205</v>
      </c>
      <c r="C48" s="31" t="n">
        <f aca="false">C46</f>
        <v>-3224000</v>
      </c>
      <c r="D48" s="31" t="n">
        <f aca="false">C48+D46</f>
        <v>-2973637.5</v>
      </c>
      <c r="E48" s="31" t="n">
        <f aca="false">D48+E46</f>
        <v>-2720511.6325</v>
      </c>
      <c r="F48" s="31" t="n">
        <f aca="false">E48+F46</f>
        <v>-2464587.2677055</v>
      </c>
      <c r="G48" s="31" t="n">
        <f aca="false">F48+G46</f>
        <v>-2205828.90079366</v>
      </c>
      <c r="H48" s="31" t="n">
        <f aca="false">G48+H46</f>
        <v>-1944200.64915588</v>
      </c>
      <c r="I48" s="31" t="n">
        <f aca="false">H48+I46</f>
        <v>-1679666.24965665</v>
      </c>
      <c r="J48" s="31" t="n">
        <f aca="false">I48+J46</f>
        <v>-1412189.05590992</v>
      </c>
      <c r="K48" s="31" t="n">
        <f aca="false">J48+K46</f>
        <v>-1141732.03557457</v>
      </c>
      <c r="L48" s="31" t="n">
        <f aca="false">K48+L46</f>
        <v>-868257.767670304</v>
      </c>
      <c r="M48" s="31" t="n">
        <f aca="false">L48+M46</f>
        <v>-591728.439915639</v>
      </c>
      <c r="N48" s="31" t="n">
        <f aca="false">M48+N46</f>
        <v>-312105.846089399</v>
      </c>
      <c r="O48" s="31" t="n">
        <f aca="false">N48+O46</f>
        <v>-29351.3834174461</v>
      </c>
      <c r="P48" s="31" t="n">
        <f aca="false">O48+P46</f>
        <v>256573.950013743</v>
      </c>
      <c r="Q48" s="31" t="n">
        <f aca="false">P48+Q46</f>
        <v>545709.557814941</v>
      </c>
      <c r="R48" s="31" t="n">
        <f aca="false">Q48+R46</f>
        <v>838095.247821694</v>
      </c>
      <c r="S48" s="31" t="n">
        <f aca="false">R48+S46</f>
        <v>1133771.2345897</v>
      </c>
      <c r="T48" s="31" t="n">
        <f aca="false">S48+T46</f>
        <v>1432778.14185616</v>
      </c>
      <c r="U48" s="31" t="n">
        <f aca="false">T48+U46</f>
        <v>1735157.00496519</v>
      </c>
      <c r="V48" s="31" t="n">
        <f aca="false">U48+V46</f>
        <v>2040949.27325531</v>
      </c>
      <c r="W48" s="31" t="n">
        <f aca="false">V48+W46</f>
        <v>2350196.81240689</v>
      </c>
      <c r="X48" s="31" t="n">
        <f aca="false">W48+X46</f>
        <v>2467480.81638672</v>
      </c>
      <c r="Y48" s="31" t="n">
        <f aca="false">X48+Y46</f>
        <v>2580668.11317703</v>
      </c>
      <c r="Z48" s="31" t="n">
        <f aca="false">Y48+Z46</f>
        <v>2689709.79257039</v>
      </c>
      <c r="AA48" s="31" t="n">
        <f aca="false">Z48+AA46</f>
        <v>2794555.80103553</v>
      </c>
      <c r="AB48" s="31" t="n">
        <f aca="false">AA48+AB46</f>
        <v>2895154.91967645</v>
      </c>
      <c r="AC48" s="31" t="n">
        <f aca="false">AB48+AC46</f>
        <v>2967379.78622909</v>
      </c>
      <c r="AD48" s="31" t="n">
        <f aca="false">AC48+AD46</f>
        <v>3036339.96720117</v>
      </c>
      <c r="AE48" s="31" t="n">
        <f aca="false">AD48+AE46</f>
        <v>3101994.32379562</v>
      </c>
      <c r="AF48" s="31" t="n">
        <f aca="false">AE48+AF46</f>
        <v>3164300.77366488</v>
      </c>
      <c r="AG48" s="31" t="n">
        <f aca="false">AF48+AG46</f>
        <v>3200716.27264373</v>
      </c>
    </row>
    <row r="49" customFormat="false" ht="15" hidden="false" customHeight="false" outlineLevel="0" collapsed="false">
      <c r="A49" s="35" t="s">
        <v>231</v>
      </c>
      <c r="B49" s="17" t="s">
        <v>205</v>
      </c>
      <c r="C49" s="31" t="n">
        <f aca="false">C46</f>
        <v>-3224000</v>
      </c>
      <c r="D49" s="31" t="n">
        <f aca="false">C49+D46/(1+Assumptions!$D$59)^1</f>
        <v>-2992182.87037037</v>
      </c>
      <c r="E49" s="31" t="n">
        <f aca="false">D49+E46/(1+Assumptions!$D$59)^2</f>
        <v>-2775168.23774006</v>
      </c>
      <c r="F49" s="31" t="n">
        <f aca="false">E49+F46/(1+Assumptions!$D$59)^3</f>
        <v>-2572007.22570357</v>
      </c>
      <c r="G49" s="31" t="n">
        <f aca="false">F49+G46/(1+Assumptions!$D$59)^4</f>
        <v>-2381812.10136251</v>
      </c>
      <c r="H49" s="31" t="n">
        <f aca="false">G49+H46/(1+Assumptions!$D$59)^5</f>
        <v>-2203752.30942852</v>
      </c>
      <c r="I49" s="31" t="n">
        <f aca="false">H49+I46/(1+Assumptions!$D$59)^6</f>
        <v>-2037050.76559834</v>
      </c>
      <c r="J49" s="31" t="n">
        <f aca="false">I49+J46/(1+Assumptions!$D$59)^7</f>
        <v>-1880980.39209546</v>
      </c>
      <c r="K49" s="31" t="n">
        <f aca="false">J49+K46/(1+Assumptions!$D$59)^8</f>
        <v>-1734860.87941315</v>
      </c>
      <c r="L49" s="31" t="n">
        <f aca="false">K49+L46/(1+Assumptions!$D$59)^9</f>
        <v>-1598055.65935701</v>
      </c>
      <c r="M49" s="31" t="n">
        <f aca="false">L49+M46/(1+Assumptions!$D$59)^10</f>
        <v>-1469969.07547661</v>
      </c>
      <c r="N49" s="31" t="n">
        <f aca="false">M49+N46/(1+Assumptions!$D$59)^11</f>
        <v>-1350043.737901</v>
      </c>
      <c r="O49" s="31" t="n">
        <f aca="false">N49+O46/(1+Assumptions!$D$59)^12</f>
        <v>-1237758.05045541</v>
      </c>
      <c r="P49" s="31" t="n">
        <f aca="false">O49+P46/(1+Assumptions!$D$59)^13</f>
        <v>-1132623.89874156</v>
      </c>
      <c r="Q49" s="31" t="n">
        <f aca="false">P49+Q46/(1+Assumptions!$D$59)^14</f>
        <v>-1034184.48861439</v>
      </c>
      <c r="R49" s="31" t="n">
        <f aca="false">Q49+R46/(1+Assumptions!$D$59)^15</f>
        <v>-942012.325189032</v>
      </c>
      <c r="S49" s="31" t="n">
        <f aca="false">R49+S46/(1+Assumptions!$D$59)^16</f>
        <v>-855707.323164756</v>
      </c>
      <c r="T49" s="31" t="n">
        <f aca="false">S49+T46/(1+Assumptions!$D$59)^17</f>
        <v>-774895.039862925</v>
      </c>
      <c r="U49" s="31" t="n">
        <f aca="false">T49+U46/(1+Assumptions!$D$59)^18</f>
        <v>-699225.022944661</v>
      </c>
      <c r="V49" s="31" t="n">
        <f aca="false">U49+V46/(1+Assumptions!$D$59)^19</f>
        <v>-628369.265305024</v>
      </c>
      <c r="W49" s="31" t="n">
        <f aca="false">V49+W46/(1+Assumptions!$D$59)^20</f>
        <v>-562020.760135935</v>
      </c>
      <c r="X49" s="31" t="n">
        <f aca="false">W49+X46/(1+Assumptions!$D$59)^21</f>
        <v>-538721.61864423</v>
      </c>
      <c r="Y49" s="31" t="n">
        <f aca="false">X49+Y46/(1+Assumptions!$D$59)^22</f>
        <v>-517901.889882851</v>
      </c>
      <c r="Z49" s="31" t="n">
        <f aca="false">Y49+Z46/(1+Assumptions!$D$59)^23</f>
        <v>-499330.425257465</v>
      </c>
      <c r="AA49" s="31" t="n">
        <f aca="false">Z49+AA46/(1+Assumptions!$D$59)^24</f>
        <v>-482796.27920334</v>
      </c>
      <c r="AB49" s="31" t="n">
        <f aca="false">AA49+AB46/(1+Assumptions!$D$59)^25</f>
        <v>-468107.006663307</v>
      </c>
      <c r="AC49" s="31" t="n">
        <f aca="false">AB49+AC46/(1+Assumptions!$D$59)^26</f>
        <v>-458342.077314574</v>
      </c>
      <c r="AD49" s="31" t="n">
        <f aca="false">AC49+AD46/(1+Assumptions!$D$59)^27</f>
        <v>-449709.171666462</v>
      </c>
      <c r="AE49" s="31" t="n">
        <f aca="false">AD49+AE46/(1+Assumptions!$D$59)^28</f>
        <v>-442098.930914348</v>
      </c>
      <c r="AF49" s="31" t="n">
        <f aca="false">AE49+AF46/(1+Assumptions!$D$59)^29</f>
        <v>-435411.734222601</v>
      </c>
      <c r="AG49" s="31" t="n">
        <f aca="false">AF49+AG46/(1+Assumptions!$D$59)^30</f>
        <v>-431792.859070612</v>
      </c>
    </row>
  </sheetData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3" min="3" style="0" width="11"/>
  </cols>
  <sheetData>
    <row r="1" customFormat="false" ht="30" hidden="false" customHeight="true" outlineLevel="0" collapsed="false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8" hidden="false" customHeight="true" outlineLevel="0" collapsed="false">
      <c r="A2" s="2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4" customFormat="false" ht="21.75" hidden="false" customHeight="true" outlineLevel="0" collapsed="false">
      <c r="A4" s="33" t="s">
        <v>168</v>
      </c>
      <c r="B4" s="33" t="s">
        <v>44</v>
      </c>
      <c r="C4" s="34" t="s">
        <v>169</v>
      </c>
      <c r="D4" s="34" t="s">
        <v>170</v>
      </c>
      <c r="E4" s="34" t="s">
        <v>171</v>
      </c>
      <c r="F4" s="34" t="s">
        <v>172</v>
      </c>
      <c r="G4" s="34" t="s">
        <v>173</v>
      </c>
      <c r="H4" s="34" t="s">
        <v>174</v>
      </c>
      <c r="I4" s="34" t="s">
        <v>175</v>
      </c>
      <c r="J4" s="34" t="s">
        <v>176</v>
      </c>
      <c r="K4" s="34" t="s">
        <v>177</v>
      </c>
      <c r="L4" s="34" t="s">
        <v>178</v>
      </c>
      <c r="M4" s="34" t="s">
        <v>179</v>
      </c>
      <c r="N4" s="34" t="s">
        <v>180</v>
      </c>
      <c r="O4" s="34" t="s">
        <v>181</v>
      </c>
      <c r="P4" s="34" t="s">
        <v>182</v>
      </c>
      <c r="Q4" s="34" t="s">
        <v>183</v>
      </c>
      <c r="R4" s="34" t="s">
        <v>184</v>
      </c>
      <c r="S4" s="34" t="s">
        <v>185</v>
      </c>
      <c r="T4" s="34" t="s">
        <v>186</v>
      </c>
      <c r="U4" s="34" t="s">
        <v>187</v>
      </c>
      <c r="V4" s="34" t="s">
        <v>188</v>
      </c>
      <c r="W4" s="34" t="s">
        <v>189</v>
      </c>
      <c r="X4" s="34" t="s">
        <v>190</v>
      </c>
      <c r="Y4" s="34" t="s">
        <v>191</v>
      </c>
      <c r="Z4" s="34" t="s">
        <v>192</v>
      </c>
      <c r="AA4" s="34" t="s">
        <v>193</v>
      </c>
      <c r="AB4" s="34" t="s">
        <v>194</v>
      </c>
      <c r="AC4" s="34" t="s">
        <v>195</v>
      </c>
      <c r="AD4" s="34" t="s">
        <v>196</v>
      </c>
      <c r="AE4" s="34" t="s">
        <v>197</v>
      </c>
      <c r="AF4" s="34" t="s">
        <v>198</v>
      </c>
      <c r="AG4" s="34" t="s">
        <v>199</v>
      </c>
    </row>
    <row r="5" customFormat="false" ht="19.5" hidden="false" customHeight="true" outlineLevel="0" collapsed="false">
      <c r="A5" s="15" t="s">
        <v>200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customFormat="false" ht="15" hidden="false" customHeight="false" outlineLevel="0" collapsed="false">
      <c r="A6" s="35" t="s">
        <v>201</v>
      </c>
      <c r="B6" s="17" t="s">
        <v>202</v>
      </c>
      <c r="C6" s="30" t="n">
        <f aca="false">0</f>
        <v>0</v>
      </c>
      <c r="D6" s="30" t="n">
        <f aca="false">Assumptions!$E$65*(1-Assumptions!$E$7)^(1-1)</f>
        <v>5900</v>
      </c>
      <c r="E6" s="30" t="n">
        <f aca="false">Assumptions!$E$65*(1-Assumptions!$E$7)^(2-1)</f>
        <v>5870.5</v>
      </c>
      <c r="F6" s="30" t="n">
        <f aca="false">Assumptions!$E$65*(1-Assumptions!$E$7)^(3-1)</f>
        <v>5841.1475</v>
      </c>
      <c r="G6" s="30" t="n">
        <f aca="false">Assumptions!$E$65*(1-Assumptions!$E$7)^(4-1)</f>
        <v>5811.9417625</v>
      </c>
      <c r="H6" s="30" t="n">
        <f aca="false">Assumptions!$E$65*(1-Assumptions!$E$7)^(5-1)</f>
        <v>5782.8820536875</v>
      </c>
      <c r="I6" s="30" t="n">
        <f aca="false">Assumptions!$E$65*(1-Assumptions!$E$7)^(6-1)</f>
        <v>5753.96764341906</v>
      </c>
      <c r="J6" s="30" t="n">
        <f aca="false">Assumptions!$E$65*(1-Assumptions!$E$7)^(7-1)</f>
        <v>5725.19780520197</v>
      </c>
      <c r="K6" s="30" t="n">
        <f aca="false">Assumptions!$E$65*(1-Assumptions!$E$7)^(8-1)</f>
        <v>5696.57181617596</v>
      </c>
      <c r="L6" s="30" t="n">
        <f aca="false">Assumptions!$E$65*(1-Assumptions!$E$7)^(9-1)</f>
        <v>5668.08895709508</v>
      </c>
      <c r="M6" s="30" t="n">
        <f aca="false">Assumptions!$E$65*(1-Assumptions!$E$7)^(10-1)</f>
        <v>5639.7485123096</v>
      </c>
      <c r="N6" s="30" t="n">
        <f aca="false">Assumptions!$E$65*(1-Assumptions!$E$7)^(11-1)</f>
        <v>5611.54976974805</v>
      </c>
      <c r="O6" s="30" t="n">
        <f aca="false">Assumptions!$E$65*(1-Assumptions!$E$7)^(12-1)</f>
        <v>5583.49202089931</v>
      </c>
      <c r="P6" s="30" t="n">
        <f aca="false">Assumptions!$E$65*(1-Assumptions!$E$7)^(13-1)</f>
        <v>5555.57456079482</v>
      </c>
      <c r="Q6" s="30" t="n">
        <f aca="false">Assumptions!$E$65*(1-Assumptions!$E$7)^(14-1)</f>
        <v>5527.79668799084</v>
      </c>
      <c r="R6" s="30" t="n">
        <f aca="false">Assumptions!$E$65*(1-Assumptions!$E$7)^(15-1)</f>
        <v>5500.15770455089</v>
      </c>
      <c r="S6" s="30" t="n">
        <f aca="false">Assumptions!$E$65*(1-Assumptions!$E$7)^(16-1)</f>
        <v>5472.65691602813</v>
      </c>
      <c r="T6" s="30" t="n">
        <f aca="false">Assumptions!$E$65*(1-Assumptions!$E$7)^(17-1)</f>
        <v>5445.29363144799</v>
      </c>
      <c r="U6" s="30" t="n">
        <f aca="false">Assumptions!$E$65*(1-Assumptions!$E$7)^(18-1)</f>
        <v>5418.06716329075</v>
      </c>
      <c r="V6" s="30" t="n">
        <f aca="false">Assumptions!$E$65*(1-Assumptions!$E$7)^(19-1)</f>
        <v>5390.9768274743</v>
      </c>
      <c r="W6" s="30" t="n">
        <f aca="false">Assumptions!$E$65*(1-Assumptions!$E$7)^(20-1)</f>
        <v>5364.02194333693</v>
      </c>
      <c r="X6" s="30" t="n">
        <f aca="false">Assumptions!$E$65*(1-Assumptions!$E$7)^(21-1)</f>
        <v>5337.20183362024</v>
      </c>
      <c r="Y6" s="30" t="n">
        <f aca="false">Assumptions!$E$65*(1-Assumptions!$E$7)^(22-1)</f>
        <v>5310.51582445214</v>
      </c>
      <c r="Z6" s="30" t="n">
        <f aca="false">Assumptions!$E$65*(1-Assumptions!$E$7)^(23-1)</f>
        <v>5283.96324532988</v>
      </c>
      <c r="AA6" s="30" t="n">
        <f aca="false">Assumptions!$E$65*(1-Assumptions!$E$7)^(24-1)</f>
        <v>5257.54342910323</v>
      </c>
      <c r="AB6" s="30" t="n">
        <f aca="false">Assumptions!$E$65*(1-Assumptions!$E$7)^(25-1)</f>
        <v>5231.25571195772</v>
      </c>
      <c r="AC6" s="30" t="n">
        <f aca="false">Assumptions!$E$65*(1-Assumptions!$E$7)^(26-1)</f>
        <v>5205.09943339793</v>
      </c>
      <c r="AD6" s="30" t="n">
        <f aca="false">Assumptions!$E$65*(1-Assumptions!$E$7)^(27-1)</f>
        <v>5179.07393623094</v>
      </c>
      <c r="AE6" s="30" t="n">
        <f aca="false">Assumptions!$E$65*(1-Assumptions!$E$7)^(28-1)</f>
        <v>5153.17856654978</v>
      </c>
      <c r="AF6" s="30" t="n">
        <f aca="false">Assumptions!$E$65*(1-Assumptions!$E$7)^(29-1)</f>
        <v>5127.41267371703</v>
      </c>
      <c r="AG6" s="30" t="n">
        <f aca="false">Assumptions!$E$65*(1-Assumptions!$E$7)^(30-1)</f>
        <v>5101.77561034845</v>
      </c>
    </row>
    <row r="8" customFormat="false" ht="19.5" hidden="false" customHeight="true" outlineLevel="0" collapsed="false">
      <c r="A8" s="15" t="s">
        <v>203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customFormat="false" ht="15" hidden="false" customHeight="false" outlineLevel="0" collapsed="false">
      <c r="A9" s="35" t="s">
        <v>204</v>
      </c>
      <c r="B9" s="17" t="s">
        <v>205</v>
      </c>
      <c r="C9" s="31" t="n">
        <f aca="false">0</f>
        <v>0</v>
      </c>
      <c r="D9" s="31" t="n">
        <f aca="false">IF(1&lt;=Assumptions!$E$23,D6*Assumptions!$E$21*(1+Assumptions!$E$22)^(1-1),D6*Assumptions!$E$24)</f>
        <v>389400</v>
      </c>
      <c r="E9" s="31" t="n">
        <f aca="false">IF(2&lt;=Assumptions!$E$23,E6*Assumptions!$E$21*(1+Assumptions!$E$22)^(2-1),E6*Assumptions!$E$24)</f>
        <v>395202.06</v>
      </c>
      <c r="F9" s="31" t="n">
        <f aca="false">IF(3&lt;=Assumptions!$E$23,F6*Assumptions!$E$21*(1+Assumptions!$E$22)^(3-1),F6*Assumptions!$E$24)</f>
        <v>401090.570694</v>
      </c>
      <c r="G9" s="31" t="n">
        <f aca="false">IF(4&lt;=Assumptions!$E$23,G6*Assumptions!$E$21*(1+Assumptions!$E$22)^(4-1),G6*Assumptions!$E$24)</f>
        <v>407066.820197341</v>
      </c>
      <c r="H9" s="31" t="n">
        <f aca="false">IF(5&lt;=Assumptions!$E$23,H6*Assumptions!$E$21*(1+Assumptions!$E$22)^(5-1),H6*Assumptions!$E$24)</f>
        <v>413132.115818281</v>
      </c>
      <c r="I9" s="31" t="n">
        <f aca="false">IF(6&lt;=Assumptions!$E$23,I6*Assumptions!$E$21*(1+Assumptions!$E$22)^(6-1),I6*Assumptions!$E$24)</f>
        <v>419287.784343973</v>
      </c>
      <c r="J9" s="31" t="n">
        <f aca="false">IF(7&lt;=Assumptions!$E$23,J6*Assumptions!$E$21*(1+Assumptions!$E$22)^(7-1),J6*Assumptions!$E$24)</f>
        <v>425535.172330699</v>
      </c>
      <c r="K9" s="31" t="n">
        <f aca="false">IF(8&lt;=Assumptions!$E$23,K6*Assumptions!$E$21*(1+Assumptions!$E$22)^(8-1),K6*Assumptions!$E$24)</f>
        <v>431875.646398426</v>
      </c>
      <c r="L9" s="31" t="n">
        <f aca="false">IF(9&lt;=Assumptions!$E$23,L6*Assumptions!$E$21*(1+Assumptions!$E$22)^(9-1),L6*Assumptions!$E$24)</f>
        <v>438310.593529763</v>
      </c>
      <c r="M9" s="31" t="n">
        <f aca="false">IF(10&lt;=Assumptions!$E$23,M6*Assumptions!$E$21*(1+Assumptions!$E$22)^(10-1),M6*Assumptions!$E$24)</f>
        <v>444841.421373356</v>
      </c>
      <c r="N9" s="31" t="n">
        <f aca="false">IF(11&lt;=Assumptions!$E$23,N6*Assumptions!$E$21*(1+Assumptions!$E$22)^(11-1),N6*Assumptions!$E$24)</f>
        <v>451469.558551819</v>
      </c>
      <c r="O9" s="31" t="n">
        <f aca="false">IF(12&lt;=Assumptions!$E$23,O6*Assumptions!$E$21*(1+Assumptions!$E$22)^(12-1),O6*Assumptions!$E$24)</f>
        <v>458196.454974241</v>
      </c>
      <c r="P9" s="31" t="n">
        <f aca="false">IF(13&lt;=Assumptions!$E$23,P6*Assumptions!$E$21*(1+Assumptions!$E$22)^(13-1),P6*Assumptions!$E$24)</f>
        <v>465023.582153357</v>
      </c>
      <c r="Q9" s="31" t="n">
        <f aca="false">IF(14&lt;=Assumptions!$E$23,Q6*Assumptions!$E$21*(1+Assumptions!$E$22)^(14-1),Q6*Assumptions!$E$24)</f>
        <v>471952.433527442</v>
      </c>
      <c r="R9" s="31" t="n">
        <f aca="false">IF(15&lt;=Assumptions!$E$23,R6*Assumptions!$E$21*(1+Assumptions!$E$22)^(15-1),R6*Assumptions!$E$24)</f>
        <v>478984.524787001</v>
      </c>
      <c r="S9" s="31" t="n">
        <f aca="false">IF(16&lt;=Assumptions!$E$23,S6*Assumptions!$E$21*(1+Assumptions!$E$22)^(16-1),S6*Assumptions!$E$24)</f>
        <v>486121.394206328</v>
      </c>
      <c r="T9" s="31" t="n">
        <f aca="false">IF(17&lt;=Assumptions!$E$23,T6*Assumptions!$E$21*(1+Assumptions!$E$22)^(17-1),T6*Assumptions!$E$24)</f>
        <v>493364.602980002</v>
      </c>
      <c r="U9" s="31" t="n">
        <f aca="false">IF(18&lt;=Assumptions!$E$23,U6*Assumptions!$E$21*(1+Assumptions!$E$22)^(18-1),U6*Assumptions!$E$24)</f>
        <v>500715.735564404</v>
      </c>
      <c r="V9" s="31" t="n">
        <f aca="false">IF(19&lt;=Assumptions!$E$23,V6*Assumptions!$E$21*(1+Assumptions!$E$22)^(19-1),V6*Assumptions!$E$24)</f>
        <v>508176.400024314</v>
      </c>
      <c r="W9" s="31" t="n">
        <f aca="false">IF(20&lt;=Assumptions!$E$23,W6*Assumptions!$E$21*(1+Assumptions!$E$22)^(20-1),W6*Assumptions!$E$24)</f>
        <v>515748.228384676</v>
      </c>
      <c r="X9" s="31" t="n">
        <f aca="false">IF(21&lt;=Assumptions!$E$23,X6*Assumptions!$E$21*(1+Assumptions!$E$22)^(21-1),X6*Assumptions!$E$24)</f>
        <v>523432.876987608</v>
      </c>
      <c r="Y9" s="31" t="n">
        <f aca="false">IF(22&lt;=Assumptions!$E$23,Y6*Assumptions!$E$21*(1+Assumptions!$E$22)^(22-1),Y6*Assumptions!$E$24)</f>
        <v>531232.026854723</v>
      </c>
      <c r="Z9" s="31" t="n">
        <f aca="false">IF(23&lt;=Assumptions!$E$23,Z6*Assumptions!$E$21*(1+Assumptions!$E$22)^(23-1),Z6*Assumptions!$E$24)</f>
        <v>290617.978493144</v>
      </c>
      <c r="AA9" s="31" t="n">
        <f aca="false">IF(24&lt;=Assumptions!$E$23,AA6*Assumptions!$E$21*(1+Assumptions!$E$22)^(24-1),AA6*Assumptions!$E$24)</f>
        <v>289164.888600678</v>
      </c>
      <c r="AB9" s="31" t="n">
        <f aca="false">IF(25&lt;=Assumptions!$E$23,AB6*Assumptions!$E$21*(1+Assumptions!$E$22)^(25-1),AB6*Assumptions!$E$24)</f>
        <v>287719.064157674</v>
      </c>
      <c r="AC9" s="31" t="n">
        <f aca="false">IF(26&lt;=Assumptions!$E$23,AC6*Assumptions!$E$21*(1+Assumptions!$E$22)^(26-1),AC6*Assumptions!$E$24)</f>
        <v>286280.468836886</v>
      </c>
      <c r="AD9" s="31" t="n">
        <f aca="false">IF(27&lt;=Assumptions!$E$23,AD6*Assumptions!$E$21*(1+Assumptions!$E$22)^(27-1),AD6*Assumptions!$E$24)</f>
        <v>284849.066492702</v>
      </c>
      <c r="AE9" s="31" t="n">
        <f aca="false">IF(28&lt;=Assumptions!$E$23,AE6*Assumptions!$E$21*(1+Assumptions!$E$22)^(28-1),AE6*Assumptions!$E$24)</f>
        <v>283424.821160238</v>
      </c>
      <c r="AF9" s="31" t="n">
        <f aca="false">IF(29&lt;=Assumptions!$E$23,AF6*Assumptions!$E$21*(1+Assumptions!$E$22)^(29-1),AF6*Assumptions!$E$24)</f>
        <v>282007.697054437</v>
      </c>
      <c r="AG9" s="31" t="n">
        <f aca="false">IF(30&lt;=Assumptions!$E$23,AG6*Assumptions!$E$21*(1+Assumptions!$E$22)^(30-1),AG6*Assumptions!$E$24)</f>
        <v>280597.658569165</v>
      </c>
    </row>
    <row r="10" customFormat="false" ht="15" hidden="false" customHeight="false" outlineLevel="0" collapsed="false">
      <c r="A10" s="35" t="s">
        <v>93</v>
      </c>
      <c r="B10" s="17" t="s">
        <v>205</v>
      </c>
      <c r="C10" s="31" t="n">
        <f aca="false">0</f>
        <v>0</v>
      </c>
      <c r="D10" s="31" t="n">
        <f aca="false">IF(1&lt;=Assumptions!$E$23,D6*Assumptions!$E$27,0)</f>
        <v>23600</v>
      </c>
      <c r="E10" s="31" t="n">
        <f aca="false">IF(2&lt;=Assumptions!$E$23,E6*Assumptions!$E$27,0)</f>
        <v>23482</v>
      </c>
      <c r="F10" s="31" t="n">
        <f aca="false">IF(3&lt;=Assumptions!$E$23,F6*Assumptions!$E$27,0)</f>
        <v>23364.59</v>
      </c>
      <c r="G10" s="31" t="n">
        <f aca="false">IF(4&lt;=Assumptions!$E$23,G6*Assumptions!$E$27,0)</f>
        <v>23247.76705</v>
      </c>
      <c r="H10" s="31" t="n">
        <f aca="false">IF(5&lt;=Assumptions!$E$23,H6*Assumptions!$E$27,0)</f>
        <v>23131.52821475</v>
      </c>
      <c r="I10" s="31" t="n">
        <f aca="false">IF(6&lt;=Assumptions!$E$23,I6*Assumptions!$E$27,0)</f>
        <v>23015.8705736763</v>
      </c>
      <c r="J10" s="31" t="n">
        <f aca="false">IF(7&lt;=Assumptions!$E$23,J6*Assumptions!$E$27,0)</f>
        <v>22900.7912208079</v>
      </c>
      <c r="K10" s="31" t="n">
        <f aca="false">IF(8&lt;=Assumptions!$E$23,K6*Assumptions!$E$27,0)</f>
        <v>22786.2872647038</v>
      </c>
      <c r="L10" s="31" t="n">
        <f aca="false">IF(9&lt;=Assumptions!$E$23,L6*Assumptions!$E$27,0)</f>
        <v>22672.3558283803</v>
      </c>
      <c r="M10" s="31" t="n">
        <f aca="false">IF(10&lt;=Assumptions!$E$23,M6*Assumptions!$E$27,0)</f>
        <v>22558.9940492384</v>
      </c>
      <c r="N10" s="31" t="n">
        <f aca="false">IF(11&lt;=Assumptions!$E$23,N6*Assumptions!$E$27,0)</f>
        <v>22446.1990789922</v>
      </c>
      <c r="O10" s="31" t="n">
        <f aca="false">IF(12&lt;=Assumptions!$E$23,O6*Assumptions!$E$27,0)</f>
        <v>22333.9680835973</v>
      </c>
      <c r="P10" s="31" t="n">
        <f aca="false">IF(13&lt;=Assumptions!$E$23,P6*Assumptions!$E$27,0)</f>
        <v>22222.2982431793</v>
      </c>
      <c r="Q10" s="31" t="n">
        <f aca="false">IF(14&lt;=Assumptions!$E$23,Q6*Assumptions!$E$27,0)</f>
        <v>22111.1867519634</v>
      </c>
      <c r="R10" s="31" t="n">
        <f aca="false">IF(15&lt;=Assumptions!$E$23,R6*Assumptions!$E$27,0)</f>
        <v>22000.6308182036</v>
      </c>
      <c r="S10" s="31" t="n">
        <f aca="false">IF(16&lt;=Assumptions!$E$23,S6*Assumptions!$E$27,0)</f>
        <v>21890.6276641125</v>
      </c>
      <c r="T10" s="31" t="n">
        <f aca="false">IF(17&lt;=Assumptions!$E$23,T6*Assumptions!$E$27,0)</f>
        <v>21781.174525792</v>
      </c>
      <c r="U10" s="31" t="n">
        <f aca="false">IF(18&lt;=Assumptions!$E$23,U6*Assumptions!$E$27,0)</f>
        <v>21672.268653163</v>
      </c>
      <c r="V10" s="31" t="n">
        <f aca="false">IF(19&lt;=Assumptions!$E$23,V6*Assumptions!$E$27,0)</f>
        <v>21563.9073098972</v>
      </c>
      <c r="W10" s="31" t="n">
        <f aca="false">IF(20&lt;=Assumptions!$E$23,W6*Assumptions!$E$27,0)</f>
        <v>21456.0877733477</v>
      </c>
      <c r="X10" s="31" t="n">
        <f aca="false">IF(21&lt;=Assumptions!$E$23,X6*Assumptions!$E$27,0)</f>
        <v>21348.807334481</v>
      </c>
      <c r="Y10" s="31" t="n">
        <f aca="false">IF(22&lt;=Assumptions!$E$23,Y6*Assumptions!$E$27,0)</f>
        <v>21242.0632978086</v>
      </c>
      <c r="Z10" s="31" t="n">
        <f aca="false">IF(23&lt;=Assumptions!$E$23,Z6*Assumptions!$E$27,0)</f>
        <v>0</v>
      </c>
      <c r="AA10" s="31" t="n">
        <f aca="false">IF(24&lt;=Assumptions!$E$23,AA6*Assumptions!$E$27,0)</f>
        <v>0</v>
      </c>
      <c r="AB10" s="31" t="n">
        <f aca="false">IF(25&lt;=Assumptions!$E$23,AB6*Assumptions!$E$27,0)</f>
        <v>0</v>
      </c>
      <c r="AC10" s="31" t="n">
        <f aca="false">IF(26&lt;=Assumptions!$E$23,AC6*Assumptions!$E$27,0)</f>
        <v>0</v>
      </c>
      <c r="AD10" s="31" t="n">
        <f aca="false">IF(27&lt;=Assumptions!$E$23,AD6*Assumptions!$E$27,0)</f>
        <v>0</v>
      </c>
      <c r="AE10" s="31" t="n">
        <f aca="false">IF(28&lt;=Assumptions!$E$23,AE6*Assumptions!$E$27,0)</f>
        <v>0</v>
      </c>
      <c r="AF10" s="31" t="n">
        <f aca="false">IF(29&lt;=Assumptions!$E$23,AF6*Assumptions!$E$27,0)</f>
        <v>0</v>
      </c>
      <c r="AG10" s="31" t="n">
        <f aca="false">IF(30&lt;=Assumptions!$E$23,AG6*Assumptions!$E$27,0)</f>
        <v>0</v>
      </c>
    </row>
    <row r="11" customFormat="false" ht="15" hidden="false" customHeight="false" outlineLevel="0" collapsed="false">
      <c r="A11" s="35" t="s">
        <v>206</v>
      </c>
      <c r="B11" s="17" t="s">
        <v>205</v>
      </c>
      <c r="C11" s="31" t="n">
        <f aca="false">0</f>
        <v>0</v>
      </c>
      <c r="D11" s="31" t="n">
        <f aca="false">D6*Assumptions!$E$28</f>
        <v>11800</v>
      </c>
      <c r="E11" s="31" t="n">
        <f aca="false">E6*Assumptions!$E$28</f>
        <v>11741</v>
      </c>
      <c r="F11" s="31" t="n">
        <f aca="false">F6*Assumptions!$E$28</f>
        <v>11682.295</v>
      </c>
      <c r="G11" s="31" t="n">
        <f aca="false">G6*Assumptions!$E$28</f>
        <v>11623.883525</v>
      </c>
      <c r="H11" s="31" t="n">
        <f aca="false">H6*Assumptions!$E$28</f>
        <v>11565.764107375</v>
      </c>
      <c r="I11" s="31" t="n">
        <f aca="false">I6*Assumptions!$E$28</f>
        <v>11507.9352868381</v>
      </c>
      <c r="J11" s="31" t="n">
        <f aca="false">J6*Assumptions!$E$28</f>
        <v>11450.3956104039</v>
      </c>
      <c r="K11" s="31" t="n">
        <f aca="false">K6*Assumptions!$E$28</f>
        <v>11393.1436323519</v>
      </c>
      <c r="L11" s="31" t="n">
        <f aca="false">L6*Assumptions!$E$28</f>
        <v>11336.1779141902</v>
      </c>
      <c r="M11" s="31" t="n">
        <f aca="false">M6*Assumptions!$E$28</f>
        <v>11279.4970246192</v>
      </c>
      <c r="N11" s="31" t="n">
        <f aca="false">N6*Assumptions!$E$28</f>
        <v>11223.0995394961</v>
      </c>
      <c r="O11" s="31" t="n">
        <f aca="false">O6*Assumptions!$E$28</f>
        <v>11166.9840417986</v>
      </c>
      <c r="P11" s="31" t="n">
        <f aca="false">P6*Assumptions!$E$28</f>
        <v>11111.1491215896</v>
      </c>
      <c r="Q11" s="31" t="n">
        <f aca="false">Q6*Assumptions!$E$28</f>
        <v>11055.5933759817</v>
      </c>
      <c r="R11" s="31" t="n">
        <f aca="false">R6*Assumptions!$E$28</f>
        <v>11000.3154091018</v>
      </c>
      <c r="S11" s="31" t="n">
        <f aca="false">S6*Assumptions!$E$28</f>
        <v>10945.3138320563</v>
      </c>
      <c r="T11" s="31" t="n">
        <f aca="false">T6*Assumptions!$E$28</f>
        <v>10890.587262896</v>
      </c>
      <c r="U11" s="31" t="n">
        <f aca="false">U6*Assumptions!$E$28</f>
        <v>10836.1343265815</v>
      </c>
      <c r="V11" s="31" t="n">
        <f aca="false">V6*Assumptions!$E$28</f>
        <v>10781.9536549486</v>
      </c>
      <c r="W11" s="31" t="n">
        <f aca="false">W6*Assumptions!$E$28</f>
        <v>10728.0438866739</v>
      </c>
      <c r="X11" s="31" t="n">
        <f aca="false">X6*Assumptions!$E$28</f>
        <v>10674.4036672405</v>
      </c>
      <c r="Y11" s="31" t="n">
        <f aca="false">Y6*Assumptions!$E$28</f>
        <v>10621.0316489043</v>
      </c>
      <c r="Z11" s="31" t="n">
        <f aca="false">Z6*Assumptions!$E$28</f>
        <v>10567.9264906598</v>
      </c>
      <c r="AA11" s="31" t="n">
        <f aca="false">AA6*Assumptions!$E$28</f>
        <v>10515.0868582065</v>
      </c>
      <c r="AB11" s="31" t="n">
        <f aca="false">AB6*Assumptions!$E$28</f>
        <v>10462.5114239154</v>
      </c>
      <c r="AC11" s="31" t="n">
        <f aca="false">AC6*Assumptions!$E$28</f>
        <v>10410.1988667959</v>
      </c>
      <c r="AD11" s="31" t="n">
        <f aca="false">AD6*Assumptions!$E$28</f>
        <v>10358.1478724619</v>
      </c>
      <c r="AE11" s="31" t="n">
        <f aca="false">AE6*Assumptions!$E$28</f>
        <v>10306.3571330996</v>
      </c>
      <c r="AF11" s="31" t="n">
        <f aca="false">AF6*Assumptions!$E$28</f>
        <v>10254.8253474341</v>
      </c>
      <c r="AG11" s="31" t="n">
        <f aca="false">AG6*Assumptions!$E$28</f>
        <v>10203.5512206969</v>
      </c>
    </row>
    <row r="12" customFormat="false" ht="15" hidden="false" customHeight="false" outlineLevel="0" collapsed="false">
      <c r="A12" s="35" t="s">
        <v>97</v>
      </c>
      <c r="B12" s="17" t="s">
        <v>205</v>
      </c>
      <c r="C12" s="31" t="n">
        <f aca="false">0</f>
        <v>0</v>
      </c>
      <c r="D12" s="31" t="n">
        <f aca="false">D6*Assumptions!$E$29</f>
        <v>4720</v>
      </c>
      <c r="E12" s="31" t="n">
        <f aca="false">E6*Assumptions!$E$29</f>
        <v>4696.4</v>
      </c>
      <c r="F12" s="31" t="n">
        <f aca="false">F6*Assumptions!$E$29</f>
        <v>4672.918</v>
      </c>
      <c r="G12" s="31" t="n">
        <f aca="false">G6*Assumptions!$E$29</f>
        <v>4649.55341</v>
      </c>
      <c r="H12" s="31" t="n">
        <f aca="false">H6*Assumptions!$E$29</f>
        <v>4626.30564295</v>
      </c>
      <c r="I12" s="31" t="n">
        <f aca="false">I6*Assumptions!$E$29</f>
        <v>4603.17411473525</v>
      </c>
      <c r="J12" s="31" t="n">
        <f aca="false">J6*Assumptions!$E$29</f>
        <v>4580.15824416157</v>
      </c>
      <c r="K12" s="31" t="n">
        <f aca="false">K6*Assumptions!$E$29</f>
        <v>4557.25745294077</v>
      </c>
      <c r="L12" s="31" t="n">
        <f aca="false">L6*Assumptions!$E$29</f>
        <v>4534.47116567606</v>
      </c>
      <c r="M12" s="31" t="n">
        <f aca="false">M6*Assumptions!$E$29</f>
        <v>4511.79880984768</v>
      </c>
      <c r="N12" s="31" t="n">
        <f aca="false">N6*Assumptions!$E$29</f>
        <v>4489.23981579844</v>
      </c>
      <c r="O12" s="31" t="n">
        <f aca="false">O6*Assumptions!$E$29</f>
        <v>4466.79361671945</v>
      </c>
      <c r="P12" s="31" t="n">
        <f aca="false">P6*Assumptions!$E$29</f>
        <v>4444.45964863585</v>
      </c>
      <c r="Q12" s="31" t="n">
        <f aca="false">Q6*Assumptions!$E$29</f>
        <v>4422.23735039268</v>
      </c>
      <c r="R12" s="31" t="n">
        <f aca="false">R6*Assumptions!$E$29</f>
        <v>4400.12616364071</v>
      </c>
      <c r="S12" s="31" t="n">
        <f aca="false">S6*Assumptions!$E$29</f>
        <v>4378.12553282251</v>
      </c>
      <c r="T12" s="31" t="n">
        <f aca="false">T6*Assumptions!$E$29</f>
        <v>4356.23490515839</v>
      </c>
      <c r="U12" s="31" t="n">
        <f aca="false">U6*Assumptions!$E$29</f>
        <v>4334.4537306326</v>
      </c>
      <c r="V12" s="31" t="n">
        <f aca="false">V6*Assumptions!$E$29</f>
        <v>4312.78146197944</v>
      </c>
      <c r="W12" s="31" t="n">
        <f aca="false">W6*Assumptions!$E$29</f>
        <v>4291.21755466954</v>
      </c>
      <c r="X12" s="31" t="n">
        <f aca="false">X6*Assumptions!$E$29</f>
        <v>4269.7614668962</v>
      </c>
      <c r="Y12" s="31" t="n">
        <f aca="false">Y6*Assumptions!$E$29</f>
        <v>4248.41265956171</v>
      </c>
      <c r="Z12" s="31" t="n">
        <f aca="false">Z6*Assumptions!$E$29</f>
        <v>4227.17059626391</v>
      </c>
      <c r="AA12" s="31" t="n">
        <f aca="false">AA6*Assumptions!$E$29</f>
        <v>4206.03474328259</v>
      </c>
      <c r="AB12" s="31" t="n">
        <f aca="false">AB6*Assumptions!$E$29</f>
        <v>4185.00456956617</v>
      </c>
      <c r="AC12" s="31" t="n">
        <f aca="false">AC6*Assumptions!$E$29</f>
        <v>4164.07954671834</v>
      </c>
      <c r="AD12" s="31" t="n">
        <f aca="false">AD6*Assumptions!$E$29</f>
        <v>4143.25914898475</v>
      </c>
      <c r="AE12" s="31" t="n">
        <f aca="false">AE6*Assumptions!$E$29</f>
        <v>4122.54285323983</v>
      </c>
      <c r="AF12" s="31" t="n">
        <f aca="false">AF6*Assumptions!$E$29</f>
        <v>4101.93013897363</v>
      </c>
      <c r="AG12" s="31" t="n">
        <f aca="false">AG6*Assumptions!$E$29</f>
        <v>4081.42048827876</v>
      </c>
    </row>
    <row r="13" customFormat="false" ht="15" hidden="false" customHeight="false" outlineLevel="0" collapsed="false">
      <c r="A13" s="35" t="s">
        <v>99</v>
      </c>
      <c r="B13" s="17" t="s">
        <v>205</v>
      </c>
      <c r="C13" s="31" t="n">
        <f aca="false">0</f>
        <v>0</v>
      </c>
      <c r="D13" s="31" t="n">
        <f aca="false">D6*Assumptions!$E$30</f>
        <v>2950</v>
      </c>
      <c r="E13" s="31" t="n">
        <f aca="false">E6*Assumptions!$E$30</f>
        <v>2935.25</v>
      </c>
      <c r="F13" s="31" t="n">
        <f aca="false">F6*Assumptions!$E$30</f>
        <v>2920.57375</v>
      </c>
      <c r="G13" s="31" t="n">
        <f aca="false">G6*Assumptions!$E$30</f>
        <v>2905.97088125</v>
      </c>
      <c r="H13" s="31" t="n">
        <f aca="false">H6*Assumptions!$E$30</f>
        <v>2891.44102684375</v>
      </c>
      <c r="I13" s="31" t="n">
        <f aca="false">I6*Assumptions!$E$30</f>
        <v>2876.98382170953</v>
      </c>
      <c r="J13" s="31" t="n">
        <f aca="false">J6*Assumptions!$E$30</f>
        <v>2862.59890260098</v>
      </c>
      <c r="K13" s="31" t="n">
        <f aca="false">K6*Assumptions!$E$30</f>
        <v>2848.28590808798</v>
      </c>
      <c r="L13" s="31" t="n">
        <f aca="false">L6*Assumptions!$E$30</f>
        <v>2834.04447854754</v>
      </c>
      <c r="M13" s="31" t="n">
        <f aca="false">M6*Assumptions!$E$30</f>
        <v>2819.8742561548</v>
      </c>
      <c r="N13" s="31" t="n">
        <f aca="false">N6*Assumptions!$E$30</f>
        <v>2805.77488487403</v>
      </c>
      <c r="O13" s="31" t="n">
        <f aca="false">O6*Assumptions!$E$30</f>
        <v>2791.74601044966</v>
      </c>
      <c r="P13" s="31" t="n">
        <f aca="false">P6*Assumptions!$E$30</f>
        <v>2777.78728039741</v>
      </c>
      <c r="Q13" s="31" t="n">
        <f aca="false">Q6*Assumptions!$E$30</f>
        <v>2763.89834399542</v>
      </c>
      <c r="R13" s="31" t="n">
        <f aca="false">R6*Assumptions!$E$30</f>
        <v>2750.07885227544</v>
      </c>
      <c r="S13" s="31" t="n">
        <f aca="false">S6*Assumptions!$E$30</f>
        <v>2736.32845801407</v>
      </c>
      <c r="T13" s="31" t="n">
        <f aca="false">T6*Assumptions!$E$30</f>
        <v>2722.646815724</v>
      </c>
      <c r="U13" s="31" t="n">
        <f aca="false">U6*Assumptions!$E$30</f>
        <v>2709.03358164538</v>
      </c>
      <c r="V13" s="31" t="n">
        <f aca="false">V6*Assumptions!$E$30</f>
        <v>2695.48841373715</v>
      </c>
      <c r="W13" s="31" t="n">
        <f aca="false">W6*Assumptions!$E$30</f>
        <v>2682.01097166846</v>
      </c>
      <c r="X13" s="31" t="n">
        <f aca="false">X6*Assumptions!$E$30</f>
        <v>2668.60091681012</v>
      </c>
      <c r="Y13" s="31" t="n">
        <f aca="false">Y6*Assumptions!$E$30</f>
        <v>2655.25791222607</v>
      </c>
      <c r="Z13" s="31" t="n">
        <f aca="false">Z6*Assumptions!$E$30</f>
        <v>2641.98162266494</v>
      </c>
      <c r="AA13" s="31" t="n">
        <f aca="false">AA6*Assumptions!$E$30</f>
        <v>2628.77171455162</v>
      </c>
      <c r="AB13" s="31" t="n">
        <f aca="false">AB6*Assumptions!$E$30</f>
        <v>2615.62785597886</v>
      </c>
      <c r="AC13" s="31" t="n">
        <f aca="false">AC6*Assumptions!$E$30</f>
        <v>2602.54971669896</v>
      </c>
      <c r="AD13" s="31" t="n">
        <f aca="false">AD6*Assumptions!$E$30</f>
        <v>2589.53696811547</v>
      </c>
      <c r="AE13" s="31" t="n">
        <f aca="false">AE6*Assumptions!$E$30</f>
        <v>2576.58928327489</v>
      </c>
      <c r="AF13" s="31" t="n">
        <f aca="false">AF6*Assumptions!$E$30</f>
        <v>2563.70633685852</v>
      </c>
      <c r="AG13" s="31" t="n">
        <f aca="false">AG6*Assumptions!$E$30</f>
        <v>2550.88780517422</v>
      </c>
    </row>
    <row r="14" customFormat="false" ht="15" hidden="false" customHeight="false" outlineLevel="0" collapsed="false">
      <c r="A14" s="35" t="s">
        <v>207</v>
      </c>
      <c r="B14" s="17" t="s">
        <v>205</v>
      </c>
      <c r="C14" s="31" t="n">
        <f aca="false">0</f>
        <v>0</v>
      </c>
      <c r="D14" s="31" t="n">
        <f aca="false">Assumptions!$E$31</f>
        <v>12000</v>
      </c>
      <c r="E14" s="31" t="n">
        <f aca="false">Assumptions!$E$31</f>
        <v>12000</v>
      </c>
      <c r="F14" s="31" t="n">
        <f aca="false">Assumptions!$E$31</f>
        <v>12000</v>
      </c>
      <c r="G14" s="31" t="n">
        <f aca="false">Assumptions!$E$31</f>
        <v>12000</v>
      </c>
      <c r="H14" s="31" t="n">
        <f aca="false">Assumptions!$E$31</f>
        <v>12000</v>
      </c>
      <c r="I14" s="31" t="n">
        <f aca="false">Assumptions!$E$31</f>
        <v>12000</v>
      </c>
      <c r="J14" s="31" t="n">
        <f aca="false">Assumptions!$E$31</f>
        <v>12000</v>
      </c>
      <c r="K14" s="31" t="n">
        <f aca="false">Assumptions!$E$31</f>
        <v>12000</v>
      </c>
      <c r="L14" s="31" t="n">
        <f aca="false">Assumptions!$E$31</f>
        <v>12000</v>
      </c>
      <c r="M14" s="31" t="n">
        <f aca="false">Assumptions!$E$31</f>
        <v>12000</v>
      </c>
      <c r="N14" s="31" t="n">
        <f aca="false">Assumptions!$E$31</f>
        <v>12000</v>
      </c>
      <c r="O14" s="31" t="n">
        <f aca="false">Assumptions!$E$31</f>
        <v>12000</v>
      </c>
      <c r="P14" s="31" t="n">
        <f aca="false">Assumptions!$E$31</f>
        <v>12000</v>
      </c>
      <c r="Q14" s="31" t="n">
        <f aca="false">Assumptions!$E$31</f>
        <v>12000</v>
      </c>
      <c r="R14" s="31" t="n">
        <f aca="false">Assumptions!$E$31</f>
        <v>12000</v>
      </c>
      <c r="S14" s="31" t="n">
        <f aca="false">Assumptions!$E$31</f>
        <v>12000</v>
      </c>
      <c r="T14" s="31" t="n">
        <f aca="false">Assumptions!$E$31</f>
        <v>12000</v>
      </c>
      <c r="U14" s="31" t="n">
        <f aca="false">Assumptions!$E$31</f>
        <v>12000</v>
      </c>
      <c r="V14" s="31" t="n">
        <f aca="false">Assumptions!$E$31</f>
        <v>12000</v>
      </c>
      <c r="W14" s="31" t="n">
        <f aca="false">Assumptions!$E$31</f>
        <v>12000</v>
      </c>
      <c r="X14" s="31" t="n">
        <f aca="false">Assumptions!$E$31</f>
        <v>12000</v>
      </c>
      <c r="Y14" s="31" t="n">
        <f aca="false">Assumptions!$E$31</f>
        <v>12000</v>
      </c>
      <c r="Z14" s="31" t="n">
        <f aca="false">Assumptions!$E$31</f>
        <v>12000</v>
      </c>
      <c r="AA14" s="31" t="n">
        <f aca="false">Assumptions!$E$31</f>
        <v>12000</v>
      </c>
      <c r="AB14" s="31" t="n">
        <f aca="false">Assumptions!$E$31</f>
        <v>12000</v>
      </c>
      <c r="AC14" s="31" t="n">
        <f aca="false">Assumptions!$E$31</f>
        <v>12000</v>
      </c>
      <c r="AD14" s="31" t="n">
        <f aca="false">Assumptions!$E$31</f>
        <v>12000</v>
      </c>
      <c r="AE14" s="31" t="n">
        <f aca="false">Assumptions!$E$31</f>
        <v>12000</v>
      </c>
      <c r="AF14" s="31" t="n">
        <f aca="false">Assumptions!$E$31</f>
        <v>12000</v>
      </c>
      <c r="AG14" s="31" t="n">
        <f aca="false">Assumptions!$E$31</f>
        <v>12000</v>
      </c>
    </row>
    <row r="15" customFormat="false" ht="15" hidden="false" customHeight="false" outlineLevel="0" collapsed="false">
      <c r="A15" s="35" t="s">
        <v>208</v>
      </c>
      <c r="B15" s="17" t="s">
        <v>205</v>
      </c>
      <c r="C15" s="31" t="n">
        <f aca="false">0</f>
        <v>0</v>
      </c>
      <c r="D15" s="31" t="n">
        <f aca="false">0</f>
        <v>0</v>
      </c>
      <c r="E15" s="31" t="n">
        <f aca="false">0</f>
        <v>0</v>
      </c>
      <c r="F15" s="31" t="n">
        <f aca="false">0</f>
        <v>0</v>
      </c>
      <c r="G15" s="31" t="n">
        <f aca="false">0</f>
        <v>0</v>
      </c>
      <c r="H15" s="31" t="n">
        <f aca="false">0</f>
        <v>0</v>
      </c>
      <c r="I15" s="31" t="n">
        <f aca="false">0</f>
        <v>0</v>
      </c>
      <c r="J15" s="31" t="n">
        <f aca="false">0</f>
        <v>0</v>
      </c>
      <c r="K15" s="31" t="n">
        <f aca="false">0</f>
        <v>0</v>
      </c>
      <c r="L15" s="31" t="n">
        <f aca="false">0</f>
        <v>0</v>
      </c>
      <c r="M15" s="31" t="n">
        <f aca="false">0</f>
        <v>0</v>
      </c>
      <c r="N15" s="31" t="n">
        <f aca="false">0</f>
        <v>0</v>
      </c>
      <c r="O15" s="31" t="n">
        <f aca="false">0</f>
        <v>0</v>
      </c>
      <c r="P15" s="31" t="n">
        <f aca="false">0</f>
        <v>0</v>
      </c>
      <c r="Q15" s="31" t="n">
        <f aca="false">0</f>
        <v>0</v>
      </c>
      <c r="R15" s="31" t="n">
        <f aca="false">0</f>
        <v>0</v>
      </c>
      <c r="S15" s="31" t="n">
        <f aca="false">0</f>
        <v>0</v>
      </c>
      <c r="T15" s="31" t="n">
        <f aca="false">0</f>
        <v>0</v>
      </c>
      <c r="U15" s="31" t="n">
        <f aca="false">0</f>
        <v>0</v>
      </c>
      <c r="V15" s="31" t="n">
        <f aca="false">0</f>
        <v>0</v>
      </c>
      <c r="W15" s="31" t="n">
        <f aca="false">0</f>
        <v>0</v>
      </c>
      <c r="X15" s="31" t="n">
        <f aca="false">0</f>
        <v>0</v>
      </c>
      <c r="Y15" s="31" t="n">
        <f aca="false">0</f>
        <v>0</v>
      </c>
      <c r="Z15" s="31" t="n">
        <f aca="false">0</f>
        <v>0</v>
      </c>
      <c r="AA15" s="31" t="n">
        <f aca="false">0</f>
        <v>0</v>
      </c>
      <c r="AB15" s="31" t="n">
        <f aca="false">0</f>
        <v>0</v>
      </c>
      <c r="AC15" s="31" t="n">
        <f aca="false">0</f>
        <v>0</v>
      </c>
      <c r="AD15" s="31" t="n">
        <f aca="false">0</f>
        <v>0</v>
      </c>
      <c r="AE15" s="31" t="n">
        <f aca="false">0</f>
        <v>0</v>
      </c>
      <c r="AF15" s="31" t="n">
        <f aca="false">0</f>
        <v>0</v>
      </c>
      <c r="AG15" s="31" t="n">
        <f aca="false">Assumptions!$E$34*Assumptions!$E$5</f>
        <v>100000</v>
      </c>
    </row>
    <row r="16" customFormat="false" ht="15" hidden="false" customHeight="false" outlineLevel="0" collapsed="false">
      <c r="A16" s="36" t="s">
        <v>209</v>
      </c>
      <c r="B16" s="17" t="s">
        <v>205</v>
      </c>
      <c r="C16" s="37" t="n">
        <f aca="false">SUM(C9:C15)</f>
        <v>0</v>
      </c>
      <c r="D16" s="37" t="n">
        <f aca="false">SUM(D9:D15)</f>
        <v>444470</v>
      </c>
      <c r="E16" s="37" t="n">
        <f aca="false">SUM(E9:E15)</f>
        <v>450056.71</v>
      </c>
      <c r="F16" s="37" t="n">
        <f aca="false">SUM(F9:F15)</f>
        <v>455730.947444</v>
      </c>
      <c r="G16" s="37" t="n">
        <f aca="false">SUM(G9:G15)</f>
        <v>461493.995063591</v>
      </c>
      <c r="H16" s="37" t="n">
        <f aca="false">SUM(H9:H15)</f>
        <v>467347.1548102</v>
      </c>
      <c r="I16" s="37" t="n">
        <f aca="false">SUM(I9:I15)</f>
        <v>473291.748140932</v>
      </c>
      <c r="J16" s="37" t="n">
        <f aca="false">SUM(J9:J15)</f>
        <v>479329.116308673</v>
      </c>
      <c r="K16" s="37" t="n">
        <f aca="false">SUM(K9:K15)</f>
        <v>485460.62065651</v>
      </c>
      <c r="L16" s="37" t="n">
        <f aca="false">SUM(L9:L15)</f>
        <v>491687.642916557</v>
      </c>
      <c r="M16" s="37" t="n">
        <f aca="false">SUM(M9:M15)</f>
        <v>498011.585513216</v>
      </c>
      <c r="N16" s="37" t="n">
        <f aca="false">SUM(N9:N15)</f>
        <v>504433.87187098</v>
      </c>
      <c r="O16" s="37" t="n">
        <f aca="false">SUM(O9:O15)</f>
        <v>510955.946726806</v>
      </c>
      <c r="P16" s="37" t="n">
        <f aca="false">SUM(P9:P15)</f>
        <v>517579.276447159</v>
      </c>
      <c r="Q16" s="37" t="n">
        <f aca="false">SUM(Q9:Q15)</f>
        <v>524305.349349776</v>
      </c>
      <c r="R16" s="37" t="n">
        <f aca="false">SUM(R9:R15)</f>
        <v>531135.676030223</v>
      </c>
      <c r="S16" s="37" t="n">
        <f aca="false">SUM(S9:S15)</f>
        <v>538071.789693333</v>
      </c>
      <c r="T16" s="37" t="n">
        <f aca="false">SUM(T9:T15)</f>
        <v>545115.246489572</v>
      </c>
      <c r="U16" s="37" t="n">
        <f aca="false">SUM(U9:U15)</f>
        <v>552267.625856426</v>
      </c>
      <c r="V16" s="37" t="n">
        <f aca="false">SUM(V9:V15)</f>
        <v>559530.530864876</v>
      </c>
      <c r="W16" s="37" t="n">
        <f aca="false">SUM(W9:W15)</f>
        <v>566905.588571035</v>
      </c>
      <c r="X16" s="37" t="n">
        <f aca="false">SUM(X9:X15)</f>
        <v>574394.450373035</v>
      </c>
      <c r="Y16" s="37" t="n">
        <f aca="false">SUM(Y9:Y15)</f>
        <v>581998.792373224</v>
      </c>
      <c r="Z16" s="37" t="n">
        <f aca="false">SUM(Z9:Z15)</f>
        <v>320055.057202732</v>
      </c>
      <c r="AA16" s="37" t="n">
        <f aca="false">SUM(AA9:AA15)</f>
        <v>318514.781916718</v>
      </c>
      <c r="AB16" s="37" t="n">
        <f aca="false">SUM(AB9:AB15)</f>
        <v>316982.208007135</v>
      </c>
      <c r="AC16" s="37" t="n">
        <f aca="false">SUM(AC9:AC15)</f>
        <v>315457.296967099</v>
      </c>
      <c r="AD16" s="37" t="n">
        <f aca="false">SUM(AD9:AD15)</f>
        <v>313940.010482264</v>
      </c>
      <c r="AE16" s="37" t="n">
        <f aca="false">SUM(AE9:AE15)</f>
        <v>312430.310429852</v>
      </c>
      <c r="AF16" s="37" t="n">
        <f aca="false">SUM(AF9:AF15)</f>
        <v>310928.158877703</v>
      </c>
      <c r="AG16" s="37" t="n">
        <f aca="false">SUM(AG9:AG15)</f>
        <v>409433.518083315</v>
      </c>
    </row>
    <row r="18" customFormat="false" ht="19.5" hidden="false" customHeight="true" outlineLevel="0" collapsed="false">
      <c r="A18" s="15" t="s">
        <v>110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customFormat="false" ht="15" hidden="false" customHeight="false" outlineLevel="0" collapsed="false">
      <c r="A19" s="35" t="s">
        <v>111</v>
      </c>
      <c r="B19" s="17" t="s">
        <v>205</v>
      </c>
      <c r="C19" s="31" t="n">
        <f aca="false">0</f>
        <v>0</v>
      </c>
      <c r="D19" s="31" t="n">
        <f aca="false">-Assumptions!$E$38*Assumptions!$E$5*(1+Assumptions!$E$39)^(1-1)</f>
        <v>-65000</v>
      </c>
      <c r="E19" s="31" t="n">
        <f aca="false">-Assumptions!$E$38*Assumptions!$E$5*(1+Assumptions!$E$39)^(2-1)</f>
        <v>-66300</v>
      </c>
      <c r="F19" s="31" t="n">
        <f aca="false">-Assumptions!$E$38*Assumptions!$E$5*(1+Assumptions!$E$39)^(3-1)</f>
        <v>-67626</v>
      </c>
      <c r="G19" s="31" t="n">
        <f aca="false">-Assumptions!$E$38*Assumptions!$E$5*(1+Assumptions!$E$39)^(4-1)</f>
        <v>-68978.52</v>
      </c>
      <c r="H19" s="31" t="n">
        <f aca="false">-Assumptions!$E$38*Assumptions!$E$5*(1+Assumptions!$E$39)^(5-1)</f>
        <v>-70358.0904</v>
      </c>
      <c r="I19" s="31" t="n">
        <f aca="false">-Assumptions!$E$38*Assumptions!$E$5*(1+Assumptions!$E$39)^(6-1)</f>
        <v>-71765.252208</v>
      </c>
      <c r="J19" s="31" t="n">
        <f aca="false">-Assumptions!$E$38*Assumptions!$E$5*(1+Assumptions!$E$39)^(7-1)</f>
        <v>-73200.55725216</v>
      </c>
      <c r="K19" s="31" t="n">
        <f aca="false">-Assumptions!$E$38*Assumptions!$E$5*(1+Assumptions!$E$39)^(8-1)</f>
        <v>-74664.5683972032</v>
      </c>
      <c r="L19" s="31" t="n">
        <f aca="false">-Assumptions!$E$38*Assumptions!$E$5*(1+Assumptions!$E$39)^(9-1)</f>
        <v>-76157.8597651473</v>
      </c>
      <c r="M19" s="31" t="n">
        <f aca="false">-Assumptions!$E$38*Assumptions!$E$5*(1+Assumptions!$E$39)^(10-1)</f>
        <v>-77681.0169604502</v>
      </c>
      <c r="N19" s="31" t="n">
        <f aca="false">-Assumptions!$E$38*Assumptions!$E$5*(1+Assumptions!$E$39)^(11-1)</f>
        <v>-79234.6372996592</v>
      </c>
      <c r="O19" s="31" t="n">
        <f aca="false">-Assumptions!$E$38*Assumptions!$E$5*(1+Assumptions!$E$39)^(12-1)</f>
        <v>-80819.3300456524</v>
      </c>
      <c r="P19" s="31" t="n">
        <f aca="false">-Assumptions!$E$38*Assumptions!$E$5*(1+Assumptions!$E$39)^(13-1)</f>
        <v>-82435.7166465655</v>
      </c>
      <c r="Q19" s="31" t="n">
        <f aca="false">-Assumptions!$E$38*Assumptions!$E$5*(1+Assumptions!$E$39)^(14-1)</f>
        <v>-84084.4309794968</v>
      </c>
      <c r="R19" s="31" t="n">
        <f aca="false">-Assumptions!$E$38*Assumptions!$E$5*(1+Assumptions!$E$39)^(15-1)</f>
        <v>-85766.1195990867</v>
      </c>
      <c r="S19" s="31" t="n">
        <f aca="false">-Assumptions!$E$38*Assumptions!$E$5*(1+Assumptions!$E$39)^(16-1)</f>
        <v>-87481.4419910684</v>
      </c>
      <c r="T19" s="31" t="n">
        <f aca="false">-Assumptions!$E$38*Assumptions!$E$5*(1+Assumptions!$E$39)^(17-1)</f>
        <v>-89231.0708308898</v>
      </c>
      <c r="U19" s="31" t="n">
        <f aca="false">-Assumptions!$E$38*Assumptions!$E$5*(1+Assumptions!$E$39)^(18-1)</f>
        <v>-91015.6922475076</v>
      </c>
      <c r="V19" s="31" t="n">
        <f aca="false">-Assumptions!$E$38*Assumptions!$E$5*(1+Assumptions!$E$39)^(19-1)</f>
        <v>-92836.0060924578</v>
      </c>
      <c r="W19" s="31" t="n">
        <f aca="false">-Assumptions!$E$38*Assumptions!$E$5*(1+Assumptions!$E$39)^(20-1)</f>
        <v>-94692.7262143069</v>
      </c>
      <c r="X19" s="31" t="n">
        <f aca="false">-Assumptions!$E$38*Assumptions!$E$5*(1+Assumptions!$E$39)^(21-1)</f>
        <v>-96586.5807385931</v>
      </c>
      <c r="Y19" s="31" t="n">
        <f aca="false">-Assumptions!$E$38*Assumptions!$E$5*(1+Assumptions!$E$39)^(22-1)</f>
        <v>-98518.3123533649</v>
      </c>
      <c r="Z19" s="31" t="n">
        <f aca="false">-Assumptions!$E$38*Assumptions!$E$5*(1+Assumptions!$E$39)^(23-1)</f>
        <v>-100488.678600432</v>
      </c>
      <c r="AA19" s="31" t="n">
        <f aca="false">-Assumptions!$E$38*Assumptions!$E$5*(1+Assumptions!$E$39)^(24-1)</f>
        <v>-102498.452172441</v>
      </c>
      <c r="AB19" s="31" t="n">
        <f aca="false">-Assumptions!$E$38*Assumptions!$E$5*(1+Assumptions!$E$39)^(25-1)</f>
        <v>-104548.42121589</v>
      </c>
      <c r="AC19" s="31" t="n">
        <f aca="false">-Assumptions!$E$38*Assumptions!$E$5*(1+Assumptions!$E$39)^(26-1)</f>
        <v>-106639.389640207</v>
      </c>
      <c r="AD19" s="31" t="n">
        <f aca="false">-Assumptions!$E$38*Assumptions!$E$5*(1+Assumptions!$E$39)^(27-1)</f>
        <v>-108772.177433012</v>
      </c>
      <c r="AE19" s="31" t="n">
        <f aca="false">-Assumptions!$E$38*Assumptions!$E$5*(1+Assumptions!$E$39)^(28-1)</f>
        <v>-110947.620981672</v>
      </c>
      <c r="AF19" s="31" t="n">
        <f aca="false">-Assumptions!$E$38*Assumptions!$E$5*(1+Assumptions!$E$39)^(29-1)</f>
        <v>-113166.573401305</v>
      </c>
      <c r="AG19" s="31" t="n">
        <f aca="false">-Assumptions!$E$38*Assumptions!$E$5*(1+Assumptions!$E$39)^(30-1)</f>
        <v>-115429.904869331</v>
      </c>
    </row>
    <row r="20" customFormat="false" ht="15" hidden="false" customHeight="false" outlineLevel="0" collapsed="false">
      <c r="A20" s="35" t="s">
        <v>116</v>
      </c>
      <c r="B20" s="17" t="s">
        <v>205</v>
      </c>
      <c r="C20" s="31" t="n">
        <f aca="false">0</f>
        <v>0</v>
      </c>
      <c r="D20" s="31" t="n">
        <f aca="false">-Assumptions!$E$40*Assumptions!$E$9*(1+Assumptions!$E$39)^(1-1)</f>
        <v>-12000</v>
      </c>
      <c r="E20" s="31" t="n">
        <f aca="false">-Assumptions!$E$40*Assumptions!$E$9*(1+Assumptions!$E$39)^(2-1)</f>
        <v>-12240</v>
      </c>
      <c r="F20" s="31" t="n">
        <f aca="false">-Assumptions!$E$40*Assumptions!$E$9*(1+Assumptions!$E$39)^(3-1)</f>
        <v>-12484.8</v>
      </c>
      <c r="G20" s="31" t="n">
        <f aca="false">-Assumptions!$E$40*Assumptions!$E$9*(1+Assumptions!$E$39)^(4-1)</f>
        <v>-12734.496</v>
      </c>
      <c r="H20" s="31" t="n">
        <f aca="false">-Assumptions!$E$40*Assumptions!$E$9*(1+Assumptions!$E$39)^(5-1)</f>
        <v>-12989.18592</v>
      </c>
      <c r="I20" s="31" t="n">
        <f aca="false">-Assumptions!$E$40*Assumptions!$E$9*(1+Assumptions!$E$39)^(6-1)</f>
        <v>-13248.9696384</v>
      </c>
      <c r="J20" s="31" t="n">
        <f aca="false">-Assumptions!$E$40*Assumptions!$E$9*(1+Assumptions!$E$39)^(7-1)</f>
        <v>-13513.949031168</v>
      </c>
      <c r="K20" s="31" t="n">
        <f aca="false">-Assumptions!$E$40*Assumptions!$E$9*(1+Assumptions!$E$39)^(8-1)</f>
        <v>-13784.2280117914</v>
      </c>
      <c r="L20" s="31" t="n">
        <f aca="false">-Assumptions!$E$40*Assumptions!$E$9*(1+Assumptions!$E$39)^(9-1)</f>
        <v>-14059.9125720272</v>
      </c>
      <c r="M20" s="31" t="n">
        <f aca="false">-Assumptions!$E$40*Assumptions!$E$9*(1+Assumptions!$E$39)^(10-1)</f>
        <v>-14341.1108234677</v>
      </c>
      <c r="N20" s="31" t="n">
        <f aca="false">-Assumptions!$E$40*Assumptions!$E$9*(1+Assumptions!$E$39)^(11-1)</f>
        <v>-14627.9330399371</v>
      </c>
      <c r="O20" s="31" t="n">
        <f aca="false">-Assumptions!$E$40*Assumptions!$E$9*(1+Assumptions!$E$39)^(12-1)</f>
        <v>-14920.4917007358</v>
      </c>
      <c r="P20" s="31" t="n">
        <f aca="false">-Assumptions!$E$40*Assumptions!$E$9*(1+Assumptions!$E$39)^(13-1)</f>
        <v>-15218.9015347505</v>
      </c>
      <c r="Q20" s="31" t="n">
        <f aca="false">-Assumptions!$E$40*Assumptions!$E$9*(1+Assumptions!$E$39)^(14-1)</f>
        <v>-15523.2795654456</v>
      </c>
      <c r="R20" s="31" t="n">
        <f aca="false">-Assumptions!$E$40*Assumptions!$E$9*(1+Assumptions!$E$39)^(15-1)</f>
        <v>-15833.7451567545</v>
      </c>
      <c r="S20" s="31" t="n">
        <f aca="false">-Assumptions!$E$40*Assumptions!$E$9*(1+Assumptions!$E$39)^(16-1)</f>
        <v>-16150.4200598896</v>
      </c>
      <c r="T20" s="31" t="n">
        <f aca="false">-Assumptions!$E$40*Assumptions!$E$9*(1+Assumptions!$E$39)^(17-1)</f>
        <v>-16473.4284610874</v>
      </c>
      <c r="U20" s="31" t="n">
        <f aca="false">-Assumptions!$E$40*Assumptions!$E$9*(1+Assumptions!$E$39)^(18-1)</f>
        <v>-16802.8970303091</v>
      </c>
      <c r="V20" s="31" t="n">
        <f aca="false">-Assumptions!$E$40*Assumptions!$E$9*(1+Assumptions!$E$39)^(19-1)</f>
        <v>-17138.9549709153</v>
      </c>
      <c r="W20" s="31" t="n">
        <f aca="false">-Assumptions!$E$40*Assumptions!$E$9*(1+Assumptions!$E$39)^(20-1)</f>
        <v>-17481.7340703336</v>
      </c>
      <c r="X20" s="31" t="n">
        <f aca="false">-Assumptions!$E$40*Assumptions!$E$9*(1+Assumptions!$E$39)^(21-1)</f>
        <v>-17831.3687517403</v>
      </c>
      <c r="Y20" s="31" t="n">
        <f aca="false">-Assumptions!$E$40*Assumptions!$E$9*(1+Assumptions!$E$39)^(22-1)</f>
        <v>-18187.9961267751</v>
      </c>
      <c r="Z20" s="31" t="n">
        <f aca="false">-Assumptions!$E$40*Assumptions!$E$9*(1+Assumptions!$E$39)^(23-1)</f>
        <v>-18551.7560493106</v>
      </c>
      <c r="AA20" s="31" t="n">
        <f aca="false">-Assumptions!$E$40*Assumptions!$E$9*(1+Assumptions!$E$39)^(24-1)</f>
        <v>-18922.7911702968</v>
      </c>
      <c r="AB20" s="31" t="n">
        <f aca="false">-Assumptions!$E$40*Assumptions!$E$9*(1+Assumptions!$E$39)^(25-1)</f>
        <v>-19301.2469937027</v>
      </c>
      <c r="AC20" s="31" t="n">
        <f aca="false">-Assumptions!$E$40*Assumptions!$E$9*(1+Assumptions!$E$39)^(26-1)</f>
        <v>-19687.2719335768</v>
      </c>
      <c r="AD20" s="31" t="n">
        <f aca="false">-Assumptions!$E$40*Assumptions!$E$9*(1+Assumptions!$E$39)^(27-1)</f>
        <v>-20081.0173722483</v>
      </c>
      <c r="AE20" s="31" t="n">
        <f aca="false">-Assumptions!$E$40*Assumptions!$E$9*(1+Assumptions!$E$39)^(28-1)</f>
        <v>-20482.6377196933</v>
      </c>
      <c r="AF20" s="31" t="n">
        <f aca="false">-Assumptions!$E$40*Assumptions!$E$9*(1+Assumptions!$E$39)^(29-1)</f>
        <v>-20892.2904740871</v>
      </c>
      <c r="AG20" s="31" t="n">
        <f aca="false">-Assumptions!$E$40*Assumptions!$E$9*(1+Assumptions!$E$39)^(30-1)</f>
        <v>-21310.1362835689</v>
      </c>
    </row>
    <row r="21" customFormat="false" ht="15" hidden="false" customHeight="false" outlineLevel="0" collapsed="false">
      <c r="A21" s="35" t="s">
        <v>119</v>
      </c>
      <c r="B21" s="17" t="s">
        <v>205</v>
      </c>
      <c r="C21" s="31" t="n">
        <f aca="false">0</f>
        <v>0</v>
      </c>
      <c r="D21" s="31" t="n">
        <f aca="false">-Assumptions!$E$41*Assumptions!$E$64</f>
        <v>-16120</v>
      </c>
      <c r="E21" s="31" t="n">
        <f aca="false">-Assumptions!$E$41*Assumptions!$E$64</f>
        <v>-16120</v>
      </c>
      <c r="F21" s="31" t="n">
        <f aca="false">-Assumptions!$E$41*Assumptions!$E$64</f>
        <v>-16120</v>
      </c>
      <c r="G21" s="31" t="n">
        <f aca="false">-Assumptions!$E$41*Assumptions!$E$64</f>
        <v>-16120</v>
      </c>
      <c r="H21" s="31" t="n">
        <f aca="false">-Assumptions!$E$41*Assumptions!$E$64</f>
        <v>-16120</v>
      </c>
      <c r="I21" s="31" t="n">
        <f aca="false">-Assumptions!$E$41*Assumptions!$E$64</f>
        <v>-16120</v>
      </c>
      <c r="J21" s="31" t="n">
        <f aca="false">-Assumptions!$E$41*Assumptions!$E$64</f>
        <v>-16120</v>
      </c>
      <c r="K21" s="31" t="n">
        <f aca="false">-Assumptions!$E$41*Assumptions!$E$64</f>
        <v>-16120</v>
      </c>
      <c r="L21" s="31" t="n">
        <f aca="false">-Assumptions!$E$41*Assumptions!$E$64</f>
        <v>-16120</v>
      </c>
      <c r="M21" s="31" t="n">
        <f aca="false">-Assumptions!$E$41*Assumptions!$E$64</f>
        <v>-16120</v>
      </c>
      <c r="N21" s="31" t="n">
        <f aca="false">-Assumptions!$E$41*Assumptions!$E$64</f>
        <v>-16120</v>
      </c>
      <c r="O21" s="31" t="n">
        <f aca="false">-Assumptions!$E$41*Assumptions!$E$64</f>
        <v>-16120</v>
      </c>
      <c r="P21" s="31" t="n">
        <f aca="false">-Assumptions!$E$41*Assumptions!$E$64</f>
        <v>-16120</v>
      </c>
      <c r="Q21" s="31" t="n">
        <f aca="false">-Assumptions!$E$41*Assumptions!$E$64</f>
        <v>-16120</v>
      </c>
      <c r="R21" s="31" t="n">
        <f aca="false">-Assumptions!$E$41*Assumptions!$E$64</f>
        <v>-16120</v>
      </c>
      <c r="S21" s="31" t="n">
        <f aca="false">-Assumptions!$E$41*Assumptions!$E$64</f>
        <v>-16120</v>
      </c>
      <c r="T21" s="31" t="n">
        <f aca="false">-Assumptions!$E$41*Assumptions!$E$64</f>
        <v>-16120</v>
      </c>
      <c r="U21" s="31" t="n">
        <f aca="false">-Assumptions!$E$41*Assumptions!$E$64</f>
        <v>-16120</v>
      </c>
      <c r="V21" s="31" t="n">
        <f aca="false">-Assumptions!$E$41*Assumptions!$E$64</f>
        <v>-16120</v>
      </c>
      <c r="W21" s="31" t="n">
        <f aca="false">-Assumptions!$E$41*Assumptions!$E$64</f>
        <v>-16120</v>
      </c>
      <c r="X21" s="31" t="n">
        <f aca="false">-Assumptions!$E$41*Assumptions!$E$64</f>
        <v>-16120</v>
      </c>
      <c r="Y21" s="31" t="n">
        <f aca="false">-Assumptions!$E$41*Assumptions!$E$64</f>
        <v>-16120</v>
      </c>
      <c r="Z21" s="31" t="n">
        <f aca="false">-Assumptions!$E$41*Assumptions!$E$64</f>
        <v>-16120</v>
      </c>
      <c r="AA21" s="31" t="n">
        <f aca="false">-Assumptions!$E$41*Assumptions!$E$64</f>
        <v>-16120</v>
      </c>
      <c r="AB21" s="31" t="n">
        <f aca="false">-Assumptions!$E$41*Assumptions!$E$64</f>
        <v>-16120</v>
      </c>
      <c r="AC21" s="31" t="n">
        <f aca="false">-Assumptions!$E$41*Assumptions!$E$64</f>
        <v>-16120</v>
      </c>
      <c r="AD21" s="31" t="n">
        <f aca="false">-Assumptions!$E$41*Assumptions!$E$64</f>
        <v>-16120</v>
      </c>
      <c r="AE21" s="31" t="n">
        <f aca="false">-Assumptions!$E$41*Assumptions!$E$64</f>
        <v>-16120</v>
      </c>
      <c r="AF21" s="31" t="n">
        <f aca="false">-Assumptions!$E$41*Assumptions!$E$64</f>
        <v>-16120</v>
      </c>
      <c r="AG21" s="31" t="n">
        <f aca="false">-Assumptions!$E$41*Assumptions!$E$64</f>
        <v>-16120</v>
      </c>
    </row>
    <row r="22" customFormat="false" ht="15" hidden="false" customHeight="false" outlineLevel="0" collapsed="false">
      <c r="A22" s="35" t="s">
        <v>210</v>
      </c>
      <c r="B22" s="17" t="s">
        <v>205</v>
      </c>
      <c r="C22" s="31" t="n">
        <f aca="false">0</f>
        <v>0</v>
      </c>
      <c r="D22" s="31" t="n">
        <f aca="false">-Assumptions!$E$42*(1+Assumptions!$E$39)^(1-1)</f>
        <v>-8000</v>
      </c>
      <c r="E22" s="31" t="n">
        <f aca="false">-Assumptions!$E$42*(1+Assumptions!$E$39)^(2-1)</f>
        <v>-8160</v>
      </c>
      <c r="F22" s="31" t="n">
        <f aca="false">-Assumptions!$E$42*(1+Assumptions!$E$39)^(3-1)</f>
        <v>-8323.2</v>
      </c>
      <c r="G22" s="31" t="n">
        <f aca="false">-Assumptions!$E$42*(1+Assumptions!$E$39)^(4-1)</f>
        <v>-8489.664</v>
      </c>
      <c r="H22" s="31" t="n">
        <f aca="false">-Assumptions!$E$42*(1+Assumptions!$E$39)^(5-1)</f>
        <v>-8659.45728</v>
      </c>
      <c r="I22" s="31" t="n">
        <f aca="false">-Assumptions!$E$42*(1+Assumptions!$E$39)^(6-1)</f>
        <v>-8832.6464256</v>
      </c>
      <c r="J22" s="31" t="n">
        <f aca="false">-Assumptions!$E$42*(1+Assumptions!$E$39)^(7-1)</f>
        <v>-9009.299354112</v>
      </c>
      <c r="K22" s="31" t="n">
        <f aca="false">-Assumptions!$E$42*(1+Assumptions!$E$39)^(8-1)</f>
        <v>-9189.48534119424</v>
      </c>
      <c r="L22" s="31" t="n">
        <f aca="false">-Assumptions!$E$42*(1+Assumptions!$E$39)^(9-1)</f>
        <v>-9373.27504801813</v>
      </c>
      <c r="M22" s="31" t="n">
        <f aca="false">-Assumptions!$E$42*(1+Assumptions!$E$39)^(10-1)</f>
        <v>-9560.74054897849</v>
      </c>
      <c r="N22" s="31" t="n">
        <f aca="false">-Assumptions!$E$42*(1+Assumptions!$E$39)^(11-1)</f>
        <v>-9751.95535995806</v>
      </c>
      <c r="O22" s="31" t="n">
        <f aca="false">-Assumptions!$E$42*(1+Assumptions!$E$39)^(12-1)</f>
        <v>-9946.99446715722</v>
      </c>
      <c r="P22" s="31" t="n">
        <f aca="false">-Assumptions!$E$42*(1+Assumptions!$E$39)^(13-1)</f>
        <v>-10145.9343565004</v>
      </c>
      <c r="Q22" s="31" t="n">
        <f aca="false">-Assumptions!$E$42*(1+Assumptions!$E$39)^(14-1)</f>
        <v>-10348.8530436304</v>
      </c>
      <c r="R22" s="31" t="n">
        <f aca="false">-Assumptions!$E$42*(1+Assumptions!$E$39)^(15-1)</f>
        <v>-10555.830104503</v>
      </c>
      <c r="S22" s="31" t="n">
        <f aca="false">-Assumptions!$E$42*(1+Assumptions!$E$39)^(16-1)</f>
        <v>-10766.946706593</v>
      </c>
      <c r="T22" s="31" t="n">
        <f aca="false">-Assumptions!$E$42*(1+Assumptions!$E$39)^(17-1)</f>
        <v>-10982.2856407249</v>
      </c>
      <c r="U22" s="31" t="n">
        <f aca="false">-Assumptions!$E$42*(1+Assumptions!$E$39)^(18-1)</f>
        <v>-11201.9313535394</v>
      </c>
      <c r="V22" s="31" t="n">
        <f aca="false">-Assumptions!$E$42*(1+Assumptions!$E$39)^(19-1)</f>
        <v>-11425.9699806102</v>
      </c>
      <c r="W22" s="31" t="n">
        <f aca="false">-Assumptions!$E$42*(1+Assumptions!$E$39)^(20-1)</f>
        <v>-11654.4893802224</v>
      </c>
      <c r="X22" s="31" t="n">
        <f aca="false">-Assumptions!$E$42*(1+Assumptions!$E$39)^(21-1)</f>
        <v>-11887.5791678268</v>
      </c>
      <c r="Y22" s="31" t="n">
        <f aca="false">-Assumptions!$E$42*(1+Assumptions!$E$39)^(22-1)</f>
        <v>-12125.3307511834</v>
      </c>
      <c r="Z22" s="31" t="n">
        <f aca="false">-Assumptions!$E$42*(1+Assumptions!$E$39)^(23-1)</f>
        <v>-12367.837366207</v>
      </c>
      <c r="AA22" s="31" t="n">
        <f aca="false">-Assumptions!$E$42*(1+Assumptions!$E$39)^(24-1)</f>
        <v>-12615.1941135312</v>
      </c>
      <c r="AB22" s="31" t="n">
        <f aca="false">-Assumptions!$E$42*(1+Assumptions!$E$39)^(25-1)</f>
        <v>-12867.4979958018</v>
      </c>
      <c r="AC22" s="31" t="n">
        <f aca="false">-Assumptions!$E$42*(1+Assumptions!$E$39)^(26-1)</f>
        <v>-13124.8479557178</v>
      </c>
      <c r="AD22" s="31" t="n">
        <f aca="false">-Assumptions!$E$42*(1+Assumptions!$E$39)^(27-1)</f>
        <v>-13387.3449148322</v>
      </c>
      <c r="AE22" s="31" t="n">
        <f aca="false">-Assumptions!$E$42*(1+Assumptions!$E$39)^(28-1)</f>
        <v>-13655.0918131288</v>
      </c>
      <c r="AF22" s="31" t="n">
        <f aca="false">-Assumptions!$E$42*(1+Assumptions!$E$39)^(29-1)</f>
        <v>-13928.1936493914</v>
      </c>
      <c r="AG22" s="31" t="n">
        <f aca="false">-Assumptions!$E$42*(1+Assumptions!$E$39)^(30-1)</f>
        <v>-14206.7575223793</v>
      </c>
    </row>
    <row r="23" customFormat="false" ht="15" hidden="false" customHeight="false" outlineLevel="0" collapsed="false">
      <c r="A23" s="35" t="s">
        <v>124</v>
      </c>
      <c r="B23" s="17" t="s">
        <v>205</v>
      </c>
      <c r="C23" s="31" t="n">
        <f aca="false">0</f>
        <v>0</v>
      </c>
      <c r="D23" s="31" t="n">
        <f aca="false">-Assumptions!$E$43*(1+Assumptions!$E$39)^(1-1)</f>
        <v>-6000</v>
      </c>
      <c r="E23" s="31" t="n">
        <f aca="false">-Assumptions!$E$43*(1+Assumptions!$E$39)^(2-1)</f>
        <v>-6120</v>
      </c>
      <c r="F23" s="31" t="n">
        <f aca="false">-Assumptions!$E$43*(1+Assumptions!$E$39)^(3-1)</f>
        <v>-6242.4</v>
      </c>
      <c r="G23" s="31" t="n">
        <f aca="false">-Assumptions!$E$43*(1+Assumptions!$E$39)^(4-1)</f>
        <v>-6367.248</v>
      </c>
      <c r="H23" s="31" t="n">
        <f aca="false">-Assumptions!$E$43*(1+Assumptions!$E$39)^(5-1)</f>
        <v>-6494.59296</v>
      </c>
      <c r="I23" s="31" t="n">
        <f aca="false">-Assumptions!$E$43*(1+Assumptions!$E$39)^(6-1)</f>
        <v>-6624.4848192</v>
      </c>
      <c r="J23" s="31" t="n">
        <f aca="false">-Assumptions!$E$43*(1+Assumptions!$E$39)^(7-1)</f>
        <v>-6756.974515584</v>
      </c>
      <c r="K23" s="31" t="n">
        <f aca="false">-Assumptions!$E$43*(1+Assumptions!$E$39)^(8-1)</f>
        <v>-6892.11400589568</v>
      </c>
      <c r="L23" s="31" t="n">
        <f aca="false">-Assumptions!$E$43*(1+Assumptions!$E$39)^(9-1)</f>
        <v>-7029.9562860136</v>
      </c>
      <c r="M23" s="31" t="n">
        <f aca="false">-Assumptions!$E$43*(1+Assumptions!$E$39)^(10-1)</f>
        <v>-7170.55541173387</v>
      </c>
      <c r="N23" s="31" t="n">
        <f aca="false">-Assumptions!$E$43*(1+Assumptions!$E$39)^(11-1)</f>
        <v>-7313.96651996854</v>
      </c>
      <c r="O23" s="31" t="n">
        <f aca="false">-Assumptions!$E$43*(1+Assumptions!$E$39)^(12-1)</f>
        <v>-7460.24585036791</v>
      </c>
      <c r="P23" s="31" t="n">
        <f aca="false">-Assumptions!$E$43*(1+Assumptions!$E$39)^(13-1)</f>
        <v>-7609.45076737527</v>
      </c>
      <c r="Q23" s="31" t="n">
        <f aca="false">-Assumptions!$E$43*(1+Assumptions!$E$39)^(14-1)</f>
        <v>-7761.63978272278</v>
      </c>
      <c r="R23" s="31" t="n">
        <f aca="false">-Assumptions!$E$43*(1+Assumptions!$E$39)^(15-1)</f>
        <v>-7916.87257837723</v>
      </c>
      <c r="S23" s="31" t="n">
        <f aca="false">-Assumptions!$E$43*(1+Assumptions!$E$39)^(16-1)</f>
        <v>-8075.21002994478</v>
      </c>
      <c r="T23" s="31" t="n">
        <f aca="false">-Assumptions!$E$43*(1+Assumptions!$E$39)^(17-1)</f>
        <v>-8236.71423054368</v>
      </c>
      <c r="U23" s="31" t="n">
        <f aca="false">-Assumptions!$E$43*(1+Assumptions!$E$39)^(18-1)</f>
        <v>-8401.44851515455</v>
      </c>
      <c r="V23" s="31" t="n">
        <f aca="false">-Assumptions!$E$43*(1+Assumptions!$E$39)^(19-1)</f>
        <v>-8569.47748545764</v>
      </c>
      <c r="W23" s="31" t="n">
        <f aca="false">-Assumptions!$E$43*(1+Assumptions!$E$39)^(20-1)</f>
        <v>-8740.86703516679</v>
      </c>
      <c r="X23" s="31" t="n">
        <f aca="false">-Assumptions!$E$43*(1+Assumptions!$E$39)^(21-1)</f>
        <v>-8915.68437587013</v>
      </c>
      <c r="Y23" s="31" t="n">
        <f aca="false">-Assumptions!$E$43*(1+Assumptions!$E$39)^(22-1)</f>
        <v>-9093.99806338753</v>
      </c>
      <c r="Z23" s="31" t="n">
        <f aca="false">-Assumptions!$E$43*(1+Assumptions!$E$39)^(23-1)</f>
        <v>-9275.87802465528</v>
      </c>
      <c r="AA23" s="31" t="n">
        <f aca="false">-Assumptions!$E$43*(1+Assumptions!$E$39)^(24-1)</f>
        <v>-9461.39558514839</v>
      </c>
      <c r="AB23" s="31" t="n">
        <f aca="false">-Assumptions!$E$43*(1+Assumptions!$E$39)^(25-1)</f>
        <v>-9650.62349685136</v>
      </c>
      <c r="AC23" s="31" t="n">
        <f aca="false">-Assumptions!$E$43*(1+Assumptions!$E$39)^(26-1)</f>
        <v>-9843.63596678838</v>
      </c>
      <c r="AD23" s="31" t="n">
        <f aca="false">-Assumptions!$E$43*(1+Assumptions!$E$39)^(27-1)</f>
        <v>-10040.5086861242</v>
      </c>
      <c r="AE23" s="31" t="n">
        <f aca="false">-Assumptions!$E$43*(1+Assumptions!$E$39)^(28-1)</f>
        <v>-10241.3188598466</v>
      </c>
      <c r="AF23" s="31" t="n">
        <f aca="false">-Assumptions!$E$43*(1+Assumptions!$E$39)^(29-1)</f>
        <v>-10446.1452370436</v>
      </c>
      <c r="AG23" s="31" t="n">
        <f aca="false">-Assumptions!$E$43*(1+Assumptions!$E$39)^(30-1)</f>
        <v>-10655.0681417844</v>
      </c>
    </row>
    <row r="24" customFormat="false" ht="15" hidden="false" customHeight="false" outlineLevel="0" collapsed="false">
      <c r="A24" s="35" t="s">
        <v>126</v>
      </c>
      <c r="B24" s="17" t="s">
        <v>205</v>
      </c>
      <c r="C24" s="31" t="n">
        <f aca="false">0</f>
        <v>0</v>
      </c>
      <c r="D24" s="31" t="n">
        <f aca="false">-D6*Assumptions!$E$44</f>
        <v>-11800</v>
      </c>
      <c r="E24" s="31" t="n">
        <f aca="false">-E6*Assumptions!$E$44</f>
        <v>-11741</v>
      </c>
      <c r="F24" s="31" t="n">
        <f aca="false">-F6*Assumptions!$E$44</f>
        <v>-11682.295</v>
      </c>
      <c r="G24" s="31" t="n">
        <f aca="false">-G6*Assumptions!$E$44</f>
        <v>-11623.883525</v>
      </c>
      <c r="H24" s="31" t="n">
        <f aca="false">-H6*Assumptions!$E$44</f>
        <v>-11565.764107375</v>
      </c>
      <c r="I24" s="31" t="n">
        <f aca="false">-I6*Assumptions!$E$44</f>
        <v>-11507.9352868381</v>
      </c>
      <c r="J24" s="31" t="n">
        <f aca="false">-J6*Assumptions!$E$44</f>
        <v>-11450.3956104039</v>
      </c>
      <c r="K24" s="31" t="n">
        <f aca="false">-K6*Assumptions!$E$44</f>
        <v>-11393.1436323519</v>
      </c>
      <c r="L24" s="31" t="n">
        <f aca="false">-L6*Assumptions!$E$44</f>
        <v>-11336.1779141902</v>
      </c>
      <c r="M24" s="31" t="n">
        <f aca="false">-M6*Assumptions!$E$44</f>
        <v>-11279.4970246192</v>
      </c>
      <c r="N24" s="31" t="n">
        <f aca="false">-N6*Assumptions!$E$44</f>
        <v>-11223.0995394961</v>
      </c>
      <c r="O24" s="31" t="n">
        <f aca="false">-O6*Assumptions!$E$44</f>
        <v>-11166.9840417986</v>
      </c>
      <c r="P24" s="31" t="n">
        <f aca="false">-P6*Assumptions!$E$44</f>
        <v>-11111.1491215896</v>
      </c>
      <c r="Q24" s="31" t="n">
        <f aca="false">-Q6*Assumptions!$E$44</f>
        <v>-11055.5933759817</v>
      </c>
      <c r="R24" s="31" t="n">
        <f aca="false">-R6*Assumptions!$E$44</f>
        <v>-11000.3154091018</v>
      </c>
      <c r="S24" s="31" t="n">
        <f aca="false">-S6*Assumptions!$E$44</f>
        <v>-10945.3138320563</v>
      </c>
      <c r="T24" s="31" t="n">
        <f aca="false">-T6*Assumptions!$E$44</f>
        <v>-10890.587262896</v>
      </c>
      <c r="U24" s="31" t="n">
        <f aca="false">-U6*Assumptions!$E$44</f>
        <v>-10836.1343265815</v>
      </c>
      <c r="V24" s="31" t="n">
        <f aca="false">-V6*Assumptions!$E$44</f>
        <v>-10781.9536549486</v>
      </c>
      <c r="W24" s="31" t="n">
        <f aca="false">-W6*Assumptions!$E$44</f>
        <v>-10728.0438866739</v>
      </c>
      <c r="X24" s="31" t="n">
        <f aca="false">-X6*Assumptions!$E$44</f>
        <v>-10674.4036672405</v>
      </c>
      <c r="Y24" s="31" t="n">
        <f aca="false">-Y6*Assumptions!$E$44</f>
        <v>-10621.0316489043</v>
      </c>
      <c r="Z24" s="31" t="n">
        <f aca="false">-Z6*Assumptions!$E$44</f>
        <v>-10567.9264906598</v>
      </c>
      <c r="AA24" s="31" t="n">
        <f aca="false">-AA6*Assumptions!$E$44</f>
        <v>-10515.0868582065</v>
      </c>
      <c r="AB24" s="31" t="n">
        <f aca="false">-AB6*Assumptions!$E$44</f>
        <v>-10462.5114239154</v>
      </c>
      <c r="AC24" s="31" t="n">
        <f aca="false">-AC6*Assumptions!$E$44</f>
        <v>-10410.1988667959</v>
      </c>
      <c r="AD24" s="31" t="n">
        <f aca="false">-AD6*Assumptions!$E$44</f>
        <v>-10358.1478724619</v>
      </c>
      <c r="AE24" s="31" t="n">
        <f aca="false">-AE6*Assumptions!$E$44</f>
        <v>-10306.3571330996</v>
      </c>
      <c r="AF24" s="31" t="n">
        <f aca="false">-AF6*Assumptions!$E$44</f>
        <v>-10254.8253474341</v>
      </c>
      <c r="AG24" s="31" t="n">
        <f aca="false">-AG6*Assumptions!$E$44</f>
        <v>-10203.5512206969</v>
      </c>
    </row>
    <row r="25" customFormat="false" ht="15" hidden="false" customHeight="false" outlineLevel="0" collapsed="false">
      <c r="A25" s="35" t="s">
        <v>211</v>
      </c>
      <c r="B25" s="17" t="s">
        <v>205</v>
      </c>
      <c r="C25" s="31" t="n">
        <f aca="false">0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H25" s="31" t="n">
        <f aca="false">0</f>
        <v>0</v>
      </c>
      <c r="I25" s="31" t="n">
        <f aca="false">0</f>
        <v>0</v>
      </c>
      <c r="J25" s="31" t="n">
        <f aca="false">0</f>
        <v>0</v>
      </c>
      <c r="K25" s="31" t="n">
        <f aca="false">0</f>
        <v>0</v>
      </c>
      <c r="L25" s="31" t="n">
        <f aca="false">0</f>
        <v>0</v>
      </c>
      <c r="M25" s="31" t="n">
        <f aca="false">0</f>
        <v>0</v>
      </c>
      <c r="N25" s="31" t="n">
        <f aca="false">0</f>
        <v>0</v>
      </c>
      <c r="O25" s="31" t="n">
        <f aca="false">0</f>
        <v>0</v>
      </c>
      <c r="P25" s="31" t="n">
        <f aca="false">0</f>
        <v>0</v>
      </c>
      <c r="Q25" s="31" t="n">
        <f aca="false">0</f>
        <v>0</v>
      </c>
      <c r="R25" s="31" t="n">
        <f aca="false">0</f>
        <v>0</v>
      </c>
      <c r="S25" s="31" t="n">
        <f aca="false">0</f>
        <v>0</v>
      </c>
      <c r="T25" s="31" t="n">
        <f aca="false">0</f>
        <v>0</v>
      </c>
      <c r="U25" s="31" t="n">
        <f aca="false">0</f>
        <v>0</v>
      </c>
      <c r="V25" s="31" t="n">
        <f aca="false">0</f>
        <v>0</v>
      </c>
      <c r="W25" s="31" t="n">
        <f aca="false">0</f>
        <v>0</v>
      </c>
      <c r="X25" s="31" t="n">
        <f aca="false">0</f>
        <v>0</v>
      </c>
      <c r="Y25" s="31" t="n">
        <f aca="false">0</f>
        <v>0</v>
      </c>
      <c r="Z25" s="31" t="n">
        <f aca="false">0</f>
        <v>0</v>
      </c>
      <c r="AA25" s="31" t="n">
        <f aca="false">0</f>
        <v>0</v>
      </c>
      <c r="AB25" s="31" t="n">
        <f aca="false">0</f>
        <v>0</v>
      </c>
      <c r="AC25" s="31" t="n">
        <f aca="false">0</f>
        <v>0</v>
      </c>
      <c r="AD25" s="31" t="n">
        <f aca="false">0</f>
        <v>0</v>
      </c>
      <c r="AE25" s="31" t="n">
        <f aca="false">0</f>
        <v>0</v>
      </c>
      <c r="AF25" s="31" t="n">
        <f aca="false">0</f>
        <v>0</v>
      </c>
      <c r="AG25" s="31" t="n">
        <f aca="false">-Assumptions!$E$35*Assumptions!$E$5</f>
        <v>-90000</v>
      </c>
    </row>
    <row r="26" customFormat="false" ht="15" hidden="false" customHeight="false" outlineLevel="0" collapsed="false">
      <c r="A26" s="36" t="s">
        <v>212</v>
      </c>
      <c r="B26" s="17" t="s">
        <v>205</v>
      </c>
      <c r="C26" s="37" t="n">
        <f aca="false">SUM(C19:C25)</f>
        <v>0</v>
      </c>
      <c r="D26" s="37" t="n">
        <f aca="false">SUM(D19:D25)</f>
        <v>-118920</v>
      </c>
      <c r="E26" s="37" t="n">
        <f aca="false">SUM(E19:E25)</f>
        <v>-120681</v>
      </c>
      <c r="F26" s="37" t="n">
        <f aca="false">SUM(F19:F25)</f>
        <v>-122478.695</v>
      </c>
      <c r="G26" s="37" t="n">
        <f aca="false">SUM(G19:G25)</f>
        <v>-124313.811525</v>
      </c>
      <c r="H26" s="37" t="n">
        <f aca="false">SUM(H19:H25)</f>
        <v>-126187.090667375</v>
      </c>
      <c r="I26" s="37" t="n">
        <f aca="false">SUM(I19:I25)</f>
        <v>-128099.288378038</v>
      </c>
      <c r="J26" s="37" t="n">
        <f aca="false">SUM(J19:J25)</f>
        <v>-130051.175763428</v>
      </c>
      <c r="K26" s="37" t="n">
        <f aca="false">SUM(K19:K25)</f>
        <v>-132043.539388436</v>
      </c>
      <c r="L26" s="37" t="n">
        <f aca="false">SUM(L19:L25)</f>
        <v>-134077.181585396</v>
      </c>
      <c r="M26" s="37" t="n">
        <f aca="false">SUM(M19:M25)</f>
        <v>-136152.92076925</v>
      </c>
      <c r="N26" s="37" t="n">
        <f aca="false">SUM(N19:N25)</f>
        <v>-138271.591759019</v>
      </c>
      <c r="O26" s="37" t="n">
        <f aca="false">SUM(O19:O25)</f>
        <v>-140434.046105712</v>
      </c>
      <c r="P26" s="37" t="n">
        <f aca="false">SUM(P19:P25)</f>
        <v>-142641.152426781</v>
      </c>
      <c r="Q26" s="37" t="n">
        <f aca="false">SUM(Q19:Q25)</f>
        <v>-144893.796747277</v>
      </c>
      <c r="R26" s="37" t="n">
        <f aca="false">SUM(R19:R25)</f>
        <v>-147192.882847823</v>
      </c>
      <c r="S26" s="37" t="n">
        <f aca="false">SUM(S19:S25)</f>
        <v>-149539.332619552</v>
      </c>
      <c r="T26" s="37" t="n">
        <f aca="false">SUM(T19:T25)</f>
        <v>-151934.086426142</v>
      </c>
      <c r="U26" s="37" t="n">
        <f aca="false">SUM(U19:U25)</f>
        <v>-154378.103473092</v>
      </c>
      <c r="V26" s="37" t="n">
        <f aca="false">SUM(V19:V25)</f>
        <v>-156872.362184389</v>
      </c>
      <c r="W26" s="37" t="n">
        <f aca="false">SUM(W19:W25)</f>
        <v>-159417.860586704</v>
      </c>
      <c r="X26" s="37" t="n">
        <f aca="false">SUM(X19:X25)</f>
        <v>-162015.616701271</v>
      </c>
      <c r="Y26" s="37" t="n">
        <f aca="false">SUM(Y19:Y25)</f>
        <v>-164666.668943615</v>
      </c>
      <c r="Z26" s="37" t="n">
        <f aca="false">SUM(Z19:Z25)</f>
        <v>-167372.076531265</v>
      </c>
      <c r="AA26" s="37" t="n">
        <f aca="false">SUM(AA19:AA25)</f>
        <v>-170132.919899624</v>
      </c>
      <c r="AB26" s="37" t="n">
        <f aca="false">SUM(AB19:AB25)</f>
        <v>-172950.301126161</v>
      </c>
      <c r="AC26" s="37" t="n">
        <f aca="false">SUM(AC19:AC25)</f>
        <v>-175825.344363086</v>
      </c>
      <c r="AD26" s="37" t="n">
        <f aca="false">SUM(AD19:AD25)</f>
        <v>-178759.196278678</v>
      </c>
      <c r="AE26" s="37" t="n">
        <f aca="false">SUM(AE19:AE25)</f>
        <v>-181753.02650744</v>
      </c>
      <c r="AF26" s="37" t="n">
        <f aca="false">SUM(AF19:AF25)</f>
        <v>-184808.028109262</v>
      </c>
      <c r="AG26" s="37" t="n">
        <f aca="false">SUM(AG19:AG25)</f>
        <v>-277925.418037761</v>
      </c>
    </row>
    <row r="28" customFormat="false" ht="15" hidden="false" customHeight="false" outlineLevel="0" collapsed="false">
      <c r="A28" s="36" t="s">
        <v>213</v>
      </c>
      <c r="B28" s="17" t="s">
        <v>205</v>
      </c>
      <c r="C28" s="38" t="n">
        <f aca="false">C16+C26</f>
        <v>0</v>
      </c>
      <c r="D28" s="38" t="n">
        <f aca="false">D16+D26</f>
        <v>325550</v>
      </c>
      <c r="E28" s="38" t="n">
        <f aca="false">E16+E26</f>
        <v>329375.71</v>
      </c>
      <c r="F28" s="38" t="n">
        <f aca="false">F16+F26</f>
        <v>333252.252444</v>
      </c>
      <c r="G28" s="38" t="n">
        <f aca="false">G16+G26</f>
        <v>337180.183538591</v>
      </c>
      <c r="H28" s="38" t="n">
        <f aca="false">H16+H26</f>
        <v>341160.064142825</v>
      </c>
      <c r="I28" s="38" t="n">
        <f aca="false">I16+I26</f>
        <v>345192.459762894</v>
      </c>
      <c r="J28" s="38" t="n">
        <f aca="false">J16+J26</f>
        <v>349277.940545245</v>
      </c>
      <c r="K28" s="38" t="n">
        <f aca="false">K16+K26</f>
        <v>353417.081268074</v>
      </c>
      <c r="L28" s="38" t="n">
        <f aca="false">L16+L26</f>
        <v>357610.46133116</v>
      </c>
      <c r="M28" s="38" t="n">
        <f aca="false">M16+M26</f>
        <v>361858.664743967</v>
      </c>
      <c r="N28" s="38" t="n">
        <f aca="false">N16+N26</f>
        <v>366162.280111961</v>
      </c>
      <c r="O28" s="38" t="n">
        <f aca="false">O16+O26</f>
        <v>370521.900621094</v>
      </c>
      <c r="P28" s="38" t="n">
        <f aca="false">P16+P26</f>
        <v>374938.124020378</v>
      </c>
      <c r="Q28" s="38" t="n">
        <f aca="false">Q16+Q26</f>
        <v>379411.552602498</v>
      </c>
      <c r="R28" s="38" t="n">
        <f aca="false">R16+R26</f>
        <v>383942.7931824</v>
      </c>
      <c r="S28" s="38" t="n">
        <f aca="false">S16+S26</f>
        <v>388532.457073781</v>
      </c>
      <c r="T28" s="38" t="n">
        <f aca="false">T16+T26</f>
        <v>393181.160063431</v>
      </c>
      <c r="U28" s="38" t="n">
        <f aca="false">U16+U26</f>
        <v>397889.522383334</v>
      </c>
      <c r="V28" s="38" t="n">
        <f aca="false">V16+V26</f>
        <v>402658.168680487</v>
      </c>
      <c r="W28" s="38" t="n">
        <f aca="false">W16+W26</f>
        <v>407487.727984332</v>
      </c>
      <c r="X28" s="38" t="n">
        <f aca="false">X16+X26</f>
        <v>412378.833671764</v>
      </c>
      <c r="Y28" s="38" t="n">
        <f aca="false">Y16+Y26</f>
        <v>417332.123429608</v>
      </c>
      <c r="Z28" s="38" t="n">
        <f aca="false">Z16+Z26</f>
        <v>152682.980671467</v>
      </c>
      <c r="AA28" s="38" t="n">
        <f aca="false">AA16+AA26</f>
        <v>148381.862017095</v>
      </c>
      <c r="AB28" s="38" t="n">
        <f aca="false">AB16+AB26</f>
        <v>144031.906880974</v>
      </c>
      <c r="AC28" s="38" t="n">
        <f aca="false">AC16+AC26</f>
        <v>139631.952604013</v>
      </c>
      <c r="AD28" s="38" t="n">
        <f aca="false">AD16+AD26</f>
        <v>135180.814203586</v>
      </c>
      <c r="AE28" s="38" t="n">
        <f aca="false">AE16+AE26</f>
        <v>130677.283922412</v>
      </c>
      <c r="AF28" s="38" t="n">
        <f aca="false">AF16+AF26</f>
        <v>126120.130768442</v>
      </c>
      <c r="AG28" s="38" t="n">
        <f aca="false">AG16+AG26</f>
        <v>131508.100045554</v>
      </c>
    </row>
    <row r="30" customFormat="false" ht="19.5" hidden="false" customHeight="true" outlineLevel="0" collapsed="false">
      <c r="A30" s="15" t="s">
        <v>214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customFormat="false" ht="15" hidden="false" customHeight="false" outlineLevel="0" collapsed="false">
      <c r="A31" s="35" t="s">
        <v>215</v>
      </c>
      <c r="B31" s="17" t="s">
        <v>205</v>
      </c>
      <c r="C31" s="31" t="n">
        <f aca="false">0</f>
        <v>0</v>
      </c>
      <c r="D31" s="31" t="n">
        <f aca="false">IF(1&lt;=Assumptions!$E$54,-Assumptions!$E$64/Assumptions!$E$54,0)</f>
        <v>-128960</v>
      </c>
      <c r="E31" s="31" t="n">
        <f aca="false">IF(2&lt;=Assumptions!$E$54,-Assumptions!$E$64/Assumptions!$E$54,0)</f>
        <v>-128960</v>
      </c>
      <c r="F31" s="31" t="n">
        <f aca="false">IF(3&lt;=Assumptions!$E$54,-Assumptions!$E$64/Assumptions!$E$54,0)</f>
        <v>-128960</v>
      </c>
      <c r="G31" s="31" t="n">
        <f aca="false">IF(4&lt;=Assumptions!$E$54,-Assumptions!$E$64/Assumptions!$E$54,0)</f>
        <v>-128960</v>
      </c>
      <c r="H31" s="31" t="n">
        <f aca="false">IF(5&lt;=Assumptions!$E$54,-Assumptions!$E$64/Assumptions!$E$54,0)</f>
        <v>-128960</v>
      </c>
      <c r="I31" s="31" t="n">
        <f aca="false">IF(6&lt;=Assumptions!$E$54,-Assumptions!$E$64/Assumptions!$E$54,0)</f>
        <v>-128960</v>
      </c>
      <c r="J31" s="31" t="n">
        <f aca="false">IF(7&lt;=Assumptions!$E$54,-Assumptions!$E$64/Assumptions!$E$54,0)</f>
        <v>-128960</v>
      </c>
      <c r="K31" s="31" t="n">
        <f aca="false">IF(8&lt;=Assumptions!$E$54,-Assumptions!$E$64/Assumptions!$E$54,0)</f>
        <v>-128960</v>
      </c>
      <c r="L31" s="31" t="n">
        <f aca="false">IF(9&lt;=Assumptions!$E$54,-Assumptions!$E$64/Assumptions!$E$54,0)</f>
        <v>-128960</v>
      </c>
      <c r="M31" s="31" t="n">
        <f aca="false">IF(10&lt;=Assumptions!$E$54,-Assumptions!$E$64/Assumptions!$E$54,0)</f>
        <v>-128960</v>
      </c>
      <c r="N31" s="31" t="n">
        <f aca="false">IF(11&lt;=Assumptions!$E$54,-Assumptions!$E$64/Assumptions!$E$54,0)</f>
        <v>-128960</v>
      </c>
      <c r="O31" s="31" t="n">
        <f aca="false">IF(12&lt;=Assumptions!$E$54,-Assumptions!$E$64/Assumptions!$E$54,0)</f>
        <v>-128960</v>
      </c>
      <c r="P31" s="31" t="n">
        <f aca="false">IF(13&lt;=Assumptions!$E$54,-Assumptions!$E$64/Assumptions!$E$54,0)</f>
        <v>-128960</v>
      </c>
      <c r="Q31" s="31" t="n">
        <f aca="false">IF(14&lt;=Assumptions!$E$54,-Assumptions!$E$64/Assumptions!$E$54,0)</f>
        <v>-128960</v>
      </c>
      <c r="R31" s="31" t="n">
        <f aca="false">IF(15&lt;=Assumptions!$E$54,-Assumptions!$E$64/Assumptions!$E$54,0)</f>
        <v>-128960</v>
      </c>
      <c r="S31" s="31" t="n">
        <f aca="false">IF(16&lt;=Assumptions!$E$54,-Assumptions!$E$64/Assumptions!$E$54,0)</f>
        <v>-128960</v>
      </c>
      <c r="T31" s="31" t="n">
        <f aca="false">IF(17&lt;=Assumptions!$E$54,-Assumptions!$E$64/Assumptions!$E$54,0)</f>
        <v>-128960</v>
      </c>
      <c r="U31" s="31" t="n">
        <f aca="false">IF(18&lt;=Assumptions!$E$54,-Assumptions!$E$64/Assumptions!$E$54,0)</f>
        <v>-128960</v>
      </c>
      <c r="V31" s="31" t="n">
        <f aca="false">IF(19&lt;=Assumptions!$E$54,-Assumptions!$E$64/Assumptions!$E$54,0)</f>
        <v>-128960</v>
      </c>
      <c r="W31" s="31" t="n">
        <f aca="false">IF(20&lt;=Assumptions!$E$54,-Assumptions!$E$64/Assumptions!$E$54,0)</f>
        <v>-128960</v>
      </c>
      <c r="X31" s="31" t="n">
        <f aca="false">IF(21&lt;=Assumptions!$E$54,-Assumptions!$E$64/Assumptions!$E$54,0)</f>
        <v>-128960</v>
      </c>
      <c r="Y31" s="31" t="n">
        <f aca="false">IF(22&lt;=Assumptions!$E$54,-Assumptions!$E$64/Assumptions!$E$54,0)</f>
        <v>-128960</v>
      </c>
      <c r="Z31" s="31" t="n">
        <f aca="false">IF(23&lt;=Assumptions!$E$54,-Assumptions!$E$64/Assumptions!$E$54,0)</f>
        <v>-128960</v>
      </c>
      <c r="AA31" s="31" t="n">
        <f aca="false">IF(24&lt;=Assumptions!$E$54,-Assumptions!$E$64/Assumptions!$E$54,0)</f>
        <v>-128960</v>
      </c>
      <c r="AB31" s="31" t="n">
        <f aca="false">IF(25&lt;=Assumptions!$E$54,-Assumptions!$E$64/Assumptions!$E$54,0)</f>
        <v>-128960</v>
      </c>
      <c r="AC31" s="31" t="n">
        <f aca="false">IF(26&lt;=Assumptions!$E$54,-Assumptions!$E$64/Assumptions!$E$54,0)</f>
        <v>0</v>
      </c>
      <c r="AD31" s="31" t="n">
        <f aca="false">IF(27&lt;=Assumptions!$E$54,-Assumptions!$E$64/Assumptions!$E$54,0)</f>
        <v>0</v>
      </c>
      <c r="AE31" s="31" t="n">
        <f aca="false">IF(28&lt;=Assumptions!$E$54,-Assumptions!$E$64/Assumptions!$E$54,0)</f>
        <v>0</v>
      </c>
      <c r="AF31" s="31" t="n">
        <f aca="false">IF(29&lt;=Assumptions!$E$54,-Assumptions!$E$64/Assumptions!$E$54,0)</f>
        <v>0</v>
      </c>
      <c r="AG31" s="31" t="n">
        <f aca="false">IF(30&lt;=Assumptions!$E$54,-Assumptions!$E$64/Assumptions!$E$54,0)</f>
        <v>0</v>
      </c>
    </row>
    <row r="32" customFormat="false" ht="15" hidden="false" customHeight="false" outlineLevel="0" collapsed="false">
      <c r="A32" s="35" t="s">
        <v>216</v>
      </c>
      <c r="B32" s="17" t="s">
        <v>205</v>
      </c>
      <c r="C32" s="31" t="n">
        <f aca="false">0</f>
        <v>0</v>
      </c>
      <c r="D32" s="31" t="n">
        <f aca="false">Assumptions!$E$66</f>
        <v>2095600</v>
      </c>
      <c r="E32" s="31" t="n">
        <f aca="false">D35</f>
        <v>2037875.3441126</v>
      </c>
      <c r="F32" s="31" t="n">
        <f aca="false">E35</f>
        <v>1977553.07871027</v>
      </c>
      <c r="G32" s="31" t="n">
        <f aca="false">F35</f>
        <v>1914516.31136484</v>
      </c>
      <c r="H32" s="31" t="n">
        <f aca="false">G35</f>
        <v>1848642.88948886</v>
      </c>
      <c r="I32" s="31" t="n">
        <f aca="false">H35</f>
        <v>1779805.16362846</v>
      </c>
      <c r="J32" s="31" t="n">
        <f aca="false">I35</f>
        <v>1707869.74010435</v>
      </c>
      <c r="K32" s="31" t="n">
        <f aca="false">J35</f>
        <v>1632697.22252165</v>
      </c>
      <c r="L32" s="31" t="n">
        <f aca="false">K35</f>
        <v>1554141.94164772</v>
      </c>
      <c r="M32" s="31" t="n">
        <f aca="false">L35</f>
        <v>1472051.67313448</v>
      </c>
      <c r="N32" s="31" t="n">
        <f aca="false">M35</f>
        <v>1386267.34253813</v>
      </c>
      <c r="O32" s="31" t="n">
        <f aca="false">N35</f>
        <v>1296622.71706495</v>
      </c>
      <c r="P32" s="31" t="n">
        <f aca="false">O35</f>
        <v>1202944.08344548</v>
      </c>
      <c r="Q32" s="31" t="n">
        <f aca="false">P35</f>
        <v>1105049.91131313</v>
      </c>
      <c r="R32" s="31" t="n">
        <f aca="false">Q35</f>
        <v>1002750.50143482</v>
      </c>
      <c r="S32" s="31" t="n">
        <f aca="false">R35</f>
        <v>895847.61811199</v>
      </c>
      <c r="T32" s="31" t="n">
        <f aca="false">S35</f>
        <v>784134.105039633</v>
      </c>
      <c r="U32" s="31" t="n">
        <f aca="false">T35</f>
        <v>667393.48387902</v>
      </c>
      <c r="V32" s="31" t="n">
        <f aca="false">U35</f>
        <v>545399.534766179</v>
      </c>
      <c r="W32" s="31" t="n">
        <f aca="false">V35</f>
        <v>417915.85794326</v>
      </c>
      <c r="X32" s="31" t="n">
        <f aca="false">W35</f>
        <v>284695.415663311</v>
      </c>
      <c r="Y32" s="31" t="n">
        <f aca="false">X35</f>
        <v>145480.053480763</v>
      </c>
      <c r="Z32" s="31" t="n">
        <f aca="false">Y35</f>
        <v>6.11180439591408E-010</v>
      </c>
      <c r="AA32" s="31" t="n">
        <f aca="false">Z35</f>
        <v>6.11180439591408E-010</v>
      </c>
      <c r="AB32" s="31" t="n">
        <f aca="false">AA35</f>
        <v>6.11180439591408E-010</v>
      </c>
      <c r="AC32" s="31" t="n">
        <f aca="false">AB35</f>
        <v>6.11180439591408E-010</v>
      </c>
      <c r="AD32" s="31" t="n">
        <f aca="false">AC35</f>
        <v>6.11180439591408E-010</v>
      </c>
      <c r="AE32" s="31" t="n">
        <f aca="false">AD35</f>
        <v>6.11180439591408E-010</v>
      </c>
      <c r="AF32" s="31" t="n">
        <f aca="false">AE35</f>
        <v>6.11180439591408E-010</v>
      </c>
      <c r="AG32" s="31" t="n">
        <f aca="false">AF35</f>
        <v>6.11180439591408E-010</v>
      </c>
    </row>
    <row r="33" customFormat="false" ht="15" hidden="false" customHeight="false" outlineLevel="0" collapsed="false">
      <c r="A33" s="35" t="s">
        <v>217</v>
      </c>
      <c r="B33" s="17" t="s">
        <v>205</v>
      </c>
      <c r="C33" s="31" t="n">
        <f aca="false">0</f>
        <v>0</v>
      </c>
      <c r="D33" s="31" t="n">
        <f aca="false">-D32*Assumptions!$E$48</f>
        <v>-94302</v>
      </c>
      <c r="E33" s="31" t="n">
        <f aca="false">-E32*Assumptions!$E$48</f>
        <v>-91704.3904850672</v>
      </c>
      <c r="F33" s="31" t="n">
        <f aca="false">-F32*Assumptions!$E$48</f>
        <v>-88989.8885419624</v>
      </c>
      <c r="G33" s="31" t="n">
        <f aca="false">-G32*Assumptions!$E$48</f>
        <v>-86153.2340114178</v>
      </c>
      <c r="H33" s="31" t="n">
        <f aca="false">-H32*Assumptions!$E$48</f>
        <v>-83188.9300269988</v>
      </c>
      <c r="I33" s="31" t="n">
        <f aca="false">-I32*Assumptions!$E$48</f>
        <v>-80091.2323632809</v>
      </c>
      <c r="J33" s="31" t="n">
        <f aca="false">-J32*Assumptions!$E$48</f>
        <v>-76854.1383046957</v>
      </c>
      <c r="K33" s="31" t="n">
        <f aca="false">-K32*Assumptions!$E$48</f>
        <v>-73471.3750134741</v>
      </c>
      <c r="L33" s="31" t="n">
        <f aca="false">-L32*Assumptions!$E$48</f>
        <v>-69936.3873741476</v>
      </c>
      <c r="M33" s="31" t="n">
        <f aca="false">-M32*Assumptions!$E$48</f>
        <v>-66242.3252910514</v>
      </c>
      <c r="N33" s="31" t="n">
        <f aca="false">-N32*Assumptions!$E$48</f>
        <v>-62382.0304142159</v>
      </c>
      <c r="O33" s="31" t="n">
        <f aca="false">-O32*Assumptions!$E$48</f>
        <v>-58348.0222679227</v>
      </c>
      <c r="P33" s="31" t="n">
        <f aca="false">-P32*Assumptions!$E$48</f>
        <v>-54132.4837550464</v>
      </c>
      <c r="Q33" s="31" t="n">
        <f aca="false">-Q32*Assumptions!$E$48</f>
        <v>-49727.2460090907</v>
      </c>
      <c r="R33" s="31" t="n">
        <f aca="false">-R32*Assumptions!$E$48</f>
        <v>-45123.7725645669</v>
      </c>
      <c r="S33" s="31" t="n">
        <f aca="false">-S32*Assumptions!$E$48</f>
        <v>-40313.1428150395</v>
      </c>
      <c r="T33" s="31" t="n">
        <f aca="false">-T32*Assumptions!$E$48</f>
        <v>-35286.0347267835</v>
      </c>
      <c r="U33" s="31" t="n">
        <f aca="false">-U32*Assumptions!$E$48</f>
        <v>-30032.7067745559</v>
      </c>
      <c r="V33" s="31" t="n">
        <f aca="false">-V32*Assumptions!$E$48</f>
        <v>-24542.9790644781</v>
      </c>
      <c r="W33" s="31" t="n">
        <f aca="false">-W32*Assumptions!$E$48</f>
        <v>-18806.2136074467</v>
      </c>
      <c r="X33" s="31" t="n">
        <f aca="false">-X32*Assumptions!$E$48</f>
        <v>-12811.293704849</v>
      </c>
      <c r="Y33" s="31" t="n">
        <f aca="false">-Y32*Assumptions!$E$48</f>
        <v>-6546.60240663433</v>
      </c>
      <c r="Z33" s="31" t="n">
        <f aca="false">-Z32*Assumptions!$E$48</f>
        <v>-2.75031197816134E-011</v>
      </c>
      <c r="AA33" s="31" t="n">
        <f aca="false">-AA32*Assumptions!$E$48</f>
        <v>-2.75031197816134E-011</v>
      </c>
      <c r="AB33" s="31" t="n">
        <f aca="false">-AB32*Assumptions!$E$48</f>
        <v>-2.75031197816134E-011</v>
      </c>
      <c r="AC33" s="31" t="n">
        <f aca="false">-AC32*Assumptions!$E$48</f>
        <v>-2.75031197816134E-011</v>
      </c>
      <c r="AD33" s="31" t="n">
        <f aca="false">-AD32*Assumptions!$E$48</f>
        <v>-2.75031197816134E-011</v>
      </c>
      <c r="AE33" s="31" t="n">
        <f aca="false">-AE32*Assumptions!$E$48</f>
        <v>-2.75031197816134E-011</v>
      </c>
      <c r="AF33" s="31" t="n">
        <f aca="false">-AF32*Assumptions!$E$48</f>
        <v>-2.75031197816134E-011</v>
      </c>
      <c r="AG33" s="31" t="n">
        <f aca="false">-AG32*Assumptions!$E$48</f>
        <v>-2.75031197816134E-011</v>
      </c>
    </row>
    <row r="34" customFormat="false" ht="15" hidden="false" customHeight="false" outlineLevel="0" collapsed="false">
      <c r="A34" s="35" t="s">
        <v>218</v>
      </c>
      <c r="B34" s="17" t="s">
        <v>205</v>
      </c>
      <c r="C34" s="31" t="n">
        <f aca="false">0</f>
        <v>0</v>
      </c>
      <c r="D34" s="31" t="n">
        <f aca="false">IF(AND(1&lt;=Assumptions!$E$49,D32&gt;0),-(PMT(Assumptions!$E$48,Assumptions!$E$49,-Assumptions!$E$66)-(-D33)),0)</f>
        <v>-57724.6558873966</v>
      </c>
      <c r="E34" s="31" t="n">
        <f aca="false">IF(AND(2&lt;=Assumptions!$E$49,E32&gt;0),-(PMT(Assumptions!$E$48,Assumptions!$E$49,-Assumptions!$E$66)-(-E33)),0)</f>
        <v>-60322.2654023294</v>
      </c>
      <c r="F34" s="31" t="n">
        <f aca="false">IF(AND(3&lt;=Assumptions!$E$49,F32&gt;0),-(PMT(Assumptions!$E$48,Assumptions!$E$49,-Assumptions!$E$66)-(-F33)),0)</f>
        <v>-63036.7673454343</v>
      </c>
      <c r="G34" s="31" t="n">
        <f aca="false">IF(AND(4&lt;=Assumptions!$E$49,G32&gt;0),-(PMT(Assumptions!$E$48,Assumptions!$E$49,-Assumptions!$E$66)-(-G33)),0)</f>
        <v>-65873.4218759788</v>
      </c>
      <c r="H34" s="31" t="n">
        <f aca="false">IF(AND(5&lt;=Assumptions!$E$49,H32&gt;0),-(PMT(Assumptions!$E$48,Assumptions!$E$49,-Assumptions!$E$66)-(-H33)),0)</f>
        <v>-68837.7258603979</v>
      </c>
      <c r="I34" s="31" t="n">
        <f aca="false">IF(AND(6&lt;=Assumptions!$E$49,I32&gt;0),-(PMT(Assumptions!$E$48,Assumptions!$E$49,-Assumptions!$E$66)-(-I33)),0)</f>
        <v>-71935.4235241158</v>
      </c>
      <c r="J34" s="31" t="n">
        <f aca="false">IF(AND(7&lt;=Assumptions!$E$49,J32&gt;0),-(PMT(Assumptions!$E$48,Assumptions!$E$49,-Assumptions!$E$66)-(-J33)),0)</f>
        <v>-75172.517582701</v>
      </c>
      <c r="K34" s="31" t="n">
        <f aca="false">IF(AND(8&lt;=Assumptions!$E$49,K32&gt;0),-(PMT(Assumptions!$E$48,Assumptions!$E$49,-Assumptions!$E$66)-(-K33)),0)</f>
        <v>-78555.2808739225</v>
      </c>
      <c r="L34" s="31" t="n">
        <f aca="false">IF(AND(9&lt;=Assumptions!$E$49,L32&gt;0),-(PMT(Assumptions!$E$48,Assumptions!$E$49,-Assumptions!$E$66)-(-L33)),0)</f>
        <v>-82090.268513249</v>
      </c>
      <c r="M34" s="31" t="n">
        <f aca="false">IF(AND(10&lt;=Assumptions!$E$49,M32&gt;0),-(PMT(Assumptions!$E$48,Assumptions!$E$49,-Assumptions!$E$66)-(-M33)),0)</f>
        <v>-85784.3305963452</v>
      </c>
      <c r="N34" s="31" t="n">
        <f aca="false">IF(AND(11&lt;=Assumptions!$E$49,N32&gt;0),-(PMT(Assumptions!$E$48,Assumptions!$E$49,-Assumptions!$E$66)-(-N33)),0)</f>
        <v>-89644.6254731808</v>
      </c>
      <c r="O34" s="31" t="n">
        <f aca="false">IF(AND(12&lt;=Assumptions!$E$49,O32&gt;0),-(PMT(Assumptions!$E$48,Assumptions!$E$49,-Assumptions!$E$66)-(-O33)),0)</f>
        <v>-93678.6336194739</v>
      </c>
      <c r="P34" s="31" t="n">
        <f aca="false">IF(AND(13&lt;=Assumptions!$E$49,P32&gt;0),-(PMT(Assumptions!$E$48,Assumptions!$E$49,-Assumptions!$E$66)-(-P33)),0)</f>
        <v>-97894.1721323502</v>
      </c>
      <c r="Q34" s="31" t="n">
        <f aca="false">IF(AND(14&lt;=Assumptions!$E$49,Q32&gt;0),-(PMT(Assumptions!$E$48,Assumptions!$E$49,-Assumptions!$E$66)-(-Q33)),0)</f>
        <v>-102299.409878306</v>
      </c>
      <c r="R34" s="31" t="n">
        <f aca="false">IF(AND(15&lt;=Assumptions!$E$49,R32&gt;0),-(PMT(Assumptions!$E$48,Assumptions!$E$49,-Assumptions!$E$66)-(-R33)),0)</f>
        <v>-106902.88332283</v>
      </c>
      <c r="S34" s="31" t="n">
        <f aca="false">IF(AND(16&lt;=Assumptions!$E$49,S32&gt;0),-(PMT(Assumptions!$E$48,Assumptions!$E$49,-Assumptions!$E$66)-(-S33)),0)</f>
        <v>-111713.513072357</v>
      </c>
      <c r="T34" s="31" t="n">
        <f aca="false">IF(AND(17&lt;=Assumptions!$E$49,T32&gt;0),-(PMT(Assumptions!$E$48,Assumptions!$E$49,-Assumptions!$E$66)-(-T33)),0)</f>
        <v>-116740.621160613</v>
      </c>
      <c r="U34" s="31" t="n">
        <f aca="false">IF(AND(18&lt;=Assumptions!$E$49,U32&gt;0),-(PMT(Assumptions!$E$48,Assumptions!$E$49,-Assumptions!$E$66)-(-U33)),0)</f>
        <v>-121993.949112841</v>
      </c>
      <c r="V34" s="31" t="n">
        <f aca="false">IF(AND(19&lt;=Assumptions!$E$49,V32&gt;0),-(PMT(Assumptions!$E$48,Assumptions!$E$49,-Assumptions!$E$66)-(-V33)),0)</f>
        <v>-127483.676822919</v>
      </c>
      <c r="W34" s="31" t="n">
        <f aca="false">IF(AND(20&lt;=Assumptions!$E$49,W32&gt;0),-(PMT(Assumptions!$E$48,Assumptions!$E$49,-Assumptions!$E$66)-(-W33)),0)</f>
        <v>-133220.44227995</v>
      </c>
      <c r="X34" s="31" t="n">
        <f aca="false">IF(AND(21&lt;=Assumptions!$E$49,X32&gt;0),-(PMT(Assumptions!$E$48,Assumptions!$E$49,-Assumptions!$E$66)-(-X33)),0)</f>
        <v>-139215.362182548</v>
      </c>
      <c r="Y34" s="31" t="n">
        <f aca="false">IF(AND(22&lt;=Assumptions!$E$49,Y32&gt;0),-(PMT(Assumptions!$E$48,Assumptions!$E$49,-Assumptions!$E$66)-(-Y33)),0)</f>
        <v>-145480.053480762</v>
      </c>
      <c r="Z34" s="31" t="n">
        <f aca="false">IF(AND(23&lt;=Assumptions!$E$49,Z32&gt;0),-(PMT(Assumptions!$E$48,Assumptions!$E$49,-Assumptions!$E$66)-(-Z33)),0)</f>
        <v>0</v>
      </c>
      <c r="AA34" s="31" t="n">
        <f aca="false">IF(AND(24&lt;=Assumptions!$E$49,AA32&gt;0),-(PMT(Assumptions!$E$48,Assumptions!$E$49,-Assumptions!$E$66)-(-AA33)),0)</f>
        <v>0</v>
      </c>
      <c r="AB34" s="31" t="n">
        <f aca="false">IF(AND(25&lt;=Assumptions!$E$49,AB32&gt;0),-(PMT(Assumptions!$E$48,Assumptions!$E$49,-Assumptions!$E$66)-(-AB33)),0)</f>
        <v>0</v>
      </c>
      <c r="AC34" s="31" t="n">
        <f aca="false">IF(AND(26&lt;=Assumptions!$E$49,AC32&gt;0),-(PMT(Assumptions!$E$48,Assumptions!$E$49,-Assumptions!$E$66)-(-AC33)),0)</f>
        <v>0</v>
      </c>
      <c r="AD34" s="31" t="n">
        <f aca="false">IF(AND(27&lt;=Assumptions!$E$49,AD32&gt;0),-(PMT(Assumptions!$E$48,Assumptions!$E$49,-Assumptions!$E$66)-(-AD33)),0)</f>
        <v>0</v>
      </c>
      <c r="AE34" s="31" t="n">
        <f aca="false">IF(AND(28&lt;=Assumptions!$E$49,AE32&gt;0),-(PMT(Assumptions!$E$48,Assumptions!$E$49,-Assumptions!$E$66)-(-AE33)),0)</f>
        <v>0</v>
      </c>
      <c r="AF34" s="31" t="n">
        <f aca="false">IF(AND(29&lt;=Assumptions!$E$49,AF32&gt;0),-(PMT(Assumptions!$E$48,Assumptions!$E$49,-Assumptions!$E$66)-(-AF33)),0)</f>
        <v>0</v>
      </c>
      <c r="AG34" s="31" t="n">
        <f aca="false">IF(AND(30&lt;=Assumptions!$E$49,AG32&gt;0),-(PMT(Assumptions!$E$48,Assumptions!$E$49,-Assumptions!$E$66)-(-AG33)),0)</f>
        <v>0</v>
      </c>
    </row>
    <row r="35" customFormat="false" ht="15" hidden="false" customHeight="false" outlineLevel="0" collapsed="false">
      <c r="A35" s="35" t="s">
        <v>219</v>
      </c>
      <c r="B35" s="17" t="s">
        <v>205</v>
      </c>
      <c r="C35" s="31" t="n">
        <f aca="false">0</f>
        <v>0</v>
      </c>
      <c r="D35" s="31" t="n">
        <f aca="false">D32+D34</f>
        <v>2037875.3441126</v>
      </c>
      <c r="E35" s="31" t="n">
        <f aca="false">E32+E34</f>
        <v>1977553.07871027</v>
      </c>
      <c r="F35" s="31" t="n">
        <f aca="false">F32+F34</f>
        <v>1914516.31136484</v>
      </c>
      <c r="G35" s="31" t="n">
        <f aca="false">G32+G34</f>
        <v>1848642.88948886</v>
      </c>
      <c r="H35" s="31" t="n">
        <f aca="false">H32+H34</f>
        <v>1779805.16362846</v>
      </c>
      <c r="I35" s="31" t="n">
        <f aca="false">I32+I34</f>
        <v>1707869.74010435</v>
      </c>
      <c r="J35" s="31" t="n">
        <f aca="false">J32+J34</f>
        <v>1632697.22252165</v>
      </c>
      <c r="K35" s="31" t="n">
        <f aca="false">K32+K34</f>
        <v>1554141.94164772</v>
      </c>
      <c r="L35" s="31" t="n">
        <f aca="false">L32+L34</f>
        <v>1472051.67313448</v>
      </c>
      <c r="M35" s="31" t="n">
        <f aca="false">M32+M34</f>
        <v>1386267.34253813</v>
      </c>
      <c r="N35" s="31" t="n">
        <f aca="false">N32+N34</f>
        <v>1296622.71706495</v>
      </c>
      <c r="O35" s="31" t="n">
        <f aca="false">O32+O34</f>
        <v>1202944.08344548</v>
      </c>
      <c r="P35" s="31" t="n">
        <f aca="false">P32+P34</f>
        <v>1105049.91131313</v>
      </c>
      <c r="Q35" s="31" t="n">
        <f aca="false">Q32+Q34</f>
        <v>1002750.50143482</v>
      </c>
      <c r="R35" s="31" t="n">
        <f aca="false">R32+R34</f>
        <v>895847.61811199</v>
      </c>
      <c r="S35" s="31" t="n">
        <f aca="false">S32+S34</f>
        <v>784134.105039633</v>
      </c>
      <c r="T35" s="31" t="n">
        <f aca="false">T32+T34</f>
        <v>667393.48387902</v>
      </c>
      <c r="U35" s="31" t="n">
        <f aca="false">U32+U34</f>
        <v>545399.534766179</v>
      </c>
      <c r="V35" s="31" t="n">
        <f aca="false">V32+V34</f>
        <v>417915.85794326</v>
      </c>
      <c r="W35" s="31" t="n">
        <f aca="false">W32+W34</f>
        <v>284695.415663311</v>
      </c>
      <c r="X35" s="31" t="n">
        <f aca="false">X32+X34</f>
        <v>145480.053480763</v>
      </c>
      <c r="Y35" s="31" t="n">
        <f aca="false">Y32+Y34</f>
        <v>6.11180439591408E-010</v>
      </c>
      <c r="Z35" s="31" t="n">
        <f aca="false">Z32+Z34</f>
        <v>6.11180439591408E-010</v>
      </c>
      <c r="AA35" s="31" t="n">
        <f aca="false">AA32+AA34</f>
        <v>6.11180439591408E-010</v>
      </c>
      <c r="AB35" s="31" t="n">
        <f aca="false">AB32+AB34</f>
        <v>6.11180439591408E-010</v>
      </c>
      <c r="AC35" s="31" t="n">
        <f aca="false">AC32+AC34</f>
        <v>6.11180439591408E-010</v>
      </c>
      <c r="AD35" s="31" t="n">
        <f aca="false">AD32+AD34</f>
        <v>6.11180439591408E-010</v>
      </c>
      <c r="AE35" s="31" t="n">
        <f aca="false">AE32+AE34</f>
        <v>6.11180439591408E-010</v>
      </c>
      <c r="AF35" s="31" t="n">
        <f aca="false">AF32+AF34</f>
        <v>6.11180439591408E-010</v>
      </c>
      <c r="AG35" s="31" t="n">
        <f aca="false">AG32+AG34</f>
        <v>6.11180439591408E-010</v>
      </c>
    </row>
    <row r="37" customFormat="false" ht="15" hidden="false" customHeight="false" outlineLevel="0" collapsed="false">
      <c r="A37" s="35" t="s">
        <v>220</v>
      </c>
      <c r="B37" s="17" t="s">
        <v>205</v>
      </c>
      <c r="C37" s="31" t="n">
        <f aca="false">0</f>
        <v>0</v>
      </c>
      <c r="D37" s="31" t="n">
        <f aca="false">D28+D31+D33</f>
        <v>102288</v>
      </c>
      <c r="E37" s="31" t="n">
        <f aca="false">E28+E31+E33</f>
        <v>108711.319514933</v>
      </c>
      <c r="F37" s="31" t="n">
        <f aca="false">F28+F31+F33</f>
        <v>115302.363902038</v>
      </c>
      <c r="G37" s="31" t="n">
        <f aca="false">G28+G31+G33</f>
        <v>122066.949527173</v>
      </c>
      <c r="H37" s="31" t="n">
        <f aca="false">H28+H31+H33</f>
        <v>129011.134115826</v>
      </c>
      <c r="I37" s="31" t="n">
        <f aca="false">I28+I31+I33</f>
        <v>136141.227399613</v>
      </c>
      <c r="J37" s="31" t="n">
        <f aca="false">J28+J31+J33</f>
        <v>143463.802240549</v>
      </c>
      <c r="K37" s="31" t="n">
        <f aca="false">K28+K31+K33</f>
        <v>150985.7062546</v>
      </c>
      <c r="L37" s="31" t="n">
        <f aca="false">L28+L31+L33</f>
        <v>158714.073957013</v>
      </c>
      <c r="M37" s="31" t="n">
        <f aca="false">M28+M31+M33</f>
        <v>166656.339452915</v>
      </c>
      <c r="N37" s="31" t="n">
        <f aca="false">N28+N31+N33</f>
        <v>174820.249697745</v>
      </c>
      <c r="O37" s="31" t="n">
        <f aca="false">O28+O31+O33</f>
        <v>183213.878353171</v>
      </c>
      <c r="P37" s="31" t="n">
        <f aca="false">P28+P31+P33</f>
        <v>191845.640265332</v>
      </c>
      <c r="Q37" s="31" t="n">
        <f aca="false">Q28+Q31+Q33</f>
        <v>200724.306593408</v>
      </c>
      <c r="R37" s="31" t="n">
        <f aca="false">R28+R31+R33</f>
        <v>209859.020617833</v>
      </c>
      <c r="S37" s="31" t="n">
        <f aca="false">S28+S31+S33</f>
        <v>219259.314258741</v>
      </c>
      <c r="T37" s="31" t="n">
        <f aca="false">T28+T31+T33</f>
        <v>228935.125336647</v>
      </c>
      <c r="U37" s="31" t="n">
        <f aca="false">U28+U31+U33</f>
        <v>238896.815608778</v>
      </c>
      <c r="V37" s="31" t="n">
        <f aca="false">V28+V31+V33</f>
        <v>249155.189616008</v>
      </c>
      <c r="W37" s="31" t="n">
        <f aca="false">W28+W31+W33</f>
        <v>259721.514376885</v>
      </c>
      <c r="X37" s="31" t="n">
        <f aca="false">X28+X31+X33</f>
        <v>270607.539966915</v>
      </c>
      <c r="Y37" s="31" t="n">
        <f aca="false">Y28+Y31+Y33</f>
        <v>281825.521022974</v>
      </c>
      <c r="Z37" s="31" t="n">
        <f aca="false">Z28+Z31+Z33</f>
        <v>23722.9806714672</v>
      </c>
      <c r="AA37" s="31" t="n">
        <f aca="false">AA28+AA31+AA33</f>
        <v>19421.8620170947</v>
      </c>
      <c r="AB37" s="31" t="n">
        <f aca="false">AB28+AB31+AB33</f>
        <v>15071.9068809738</v>
      </c>
      <c r="AC37" s="31" t="n">
        <f aca="false">AC28+AC31+AC33</f>
        <v>139631.952604013</v>
      </c>
      <c r="AD37" s="31" t="n">
        <f aca="false">AD28+AD31+AD33</f>
        <v>135180.814203585</v>
      </c>
      <c r="AE37" s="31" t="n">
        <f aca="false">AE28+AE31+AE33</f>
        <v>130677.283922412</v>
      </c>
      <c r="AF37" s="31" t="n">
        <f aca="false">AF28+AF31+AF33</f>
        <v>126120.130768442</v>
      </c>
      <c r="AG37" s="31" t="n">
        <f aca="false">AG28+AG31+AG33</f>
        <v>131508.100045554</v>
      </c>
    </row>
    <row r="38" customFormat="false" ht="15" hidden="false" customHeight="false" outlineLevel="0" collapsed="false">
      <c r="A38" s="35" t="s">
        <v>221</v>
      </c>
      <c r="B38" s="17" t="s">
        <v>205</v>
      </c>
      <c r="C38" s="31" t="n">
        <f aca="false">0</f>
        <v>0</v>
      </c>
      <c r="D38" s="31" t="n">
        <f aca="false">-MAX(0,D37)*Assumptions!$E$55</f>
        <v>-25572</v>
      </c>
      <c r="E38" s="31" t="n">
        <f aca="false">-MAX(0,E37)*Assumptions!$E$55</f>
        <v>-27177.8298787332</v>
      </c>
      <c r="F38" s="31" t="n">
        <f aca="false">-MAX(0,F37)*Assumptions!$E$55</f>
        <v>-28825.5909755094</v>
      </c>
      <c r="G38" s="31" t="n">
        <f aca="false">-MAX(0,G37)*Assumptions!$E$55</f>
        <v>-30516.7373817932</v>
      </c>
      <c r="H38" s="31" t="n">
        <f aca="false">-MAX(0,H37)*Assumptions!$E$55</f>
        <v>-32252.7835289565</v>
      </c>
      <c r="I38" s="31" t="n">
        <f aca="false">-MAX(0,I37)*Assumptions!$E$55</f>
        <v>-34035.3068499034</v>
      </c>
      <c r="J38" s="31" t="n">
        <f aca="false">-MAX(0,J37)*Assumptions!$E$55</f>
        <v>-35865.9505601373</v>
      </c>
      <c r="K38" s="31" t="n">
        <f aca="false">-MAX(0,K37)*Assumptions!$E$55</f>
        <v>-37746.42656365</v>
      </c>
      <c r="L38" s="31" t="n">
        <f aca="false">-MAX(0,L37)*Assumptions!$E$55</f>
        <v>-39678.5184892532</v>
      </c>
      <c r="M38" s="31" t="n">
        <f aca="false">-MAX(0,M37)*Assumptions!$E$55</f>
        <v>-41664.0848632288</v>
      </c>
      <c r="N38" s="31" t="n">
        <f aca="false">-MAX(0,N37)*Assumptions!$E$55</f>
        <v>-43705.0624244362</v>
      </c>
      <c r="O38" s="31" t="n">
        <f aca="false">-MAX(0,O37)*Assumptions!$E$55</f>
        <v>-45803.4695882928</v>
      </c>
      <c r="P38" s="31" t="n">
        <f aca="false">-MAX(0,P37)*Assumptions!$E$55</f>
        <v>-47961.4100663329</v>
      </c>
      <c r="Q38" s="31" t="n">
        <f aca="false">-MAX(0,Q37)*Assumptions!$E$55</f>
        <v>-50181.0766483519</v>
      </c>
      <c r="R38" s="31" t="n">
        <f aca="false">-MAX(0,R37)*Assumptions!$E$55</f>
        <v>-52464.7551544582</v>
      </c>
      <c r="S38" s="31" t="n">
        <f aca="false">-MAX(0,S37)*Assumptions!$E$55</f>
        <v>-54814.8285646853</v>
      </c>
      <c r="T38" s="31" t="n">
        <f aca="false">-MAX(0,T37)*Assumptions!$E$55</f>
        <v>-57233.7813341617</v>
      </c>
      <c r="U38" s="31" t="n">
        <f aca="false">-MAX(0,U37)*Assumptions!$E$55</f>
        <v>-59724.2039021946</v>
      </c>
      <c r="V38" s="31" t="n">
        <f aca="false">-MAX(0,V37)*Assumptions!$E$55</f>
        <v>-62288.7974040021</v>
      </c>
      <c r="W38" s="31" t="n">
        <f aca="false">-MAX(0,W37)*Assumptions!$E$55</f>
        <v>-64930.3785942212</v>
      </c>
      <c r="X38" s="31" t="n">
        <f aca="false">-MAX(0,X37)*Assumptions!$E$55</f>
        <v>-67651.8849917289</v>
      </c>
      <c r="Y38" s="31" t="n">
        <f aca="false">-MAX(0,Y37)*Assumptions!$E$55</f>
        <v>-70456.3802557435</v>
      </c>
      <c r="Z38" s="31" t="n">
        <f aca="false">-MAX(0,Z37)*Assumptions!$E$55</f>
        <v>-5930.7451678668</v>
      </c>
      <c r="AA38" s="31" t="n">
        <f aca="false">-MAX(0,AA37)*Assumptions!$E$55</f>
        <v>-4855.46550427367</v>
      </c>
      <c r="AB38" s="31" t="n">
        <f aca="false">-MAX(0,AB37)*Assumptions!$E$55</f>
        <v>-3767.97672024344</v>
      </c>
      <c r="AC38" s="31" t="n">
        <f aca="false">-MAX(0,AC37)*Assumptions!$E$55</f>
        <v>-34907.9881510032</v>
      </c>
      <c r="AD38" s="31" t="n">
        <f aca="false">-MAX(0,AD37)*Assumptions!$E$55</f>
        <v>-33795.2035508964</v>
      </c>
      <c r="AE38" s="31" t="n">
        <f aca="false">-MAX(0,AE37)*Assumptions!$E$55</f>
        <v>-32669.320980603</v>
      </c>
      <c r="AF38" s="31" t="n">
        <f aca="false">-MAX(0,AF37)*Assumptions!$E$55</f>
        <v>-31530.0326921104</v>
      </c>
      <c r="AG38" s="31" t="n">
        <f aca="false">-MAX(0,AG37)*Assumptions!$E$55</f>
        <v>-32877.0250113884</v>
      </c>
    </row>
    <row r="39" customFormat="false" ht="15" hidden="false" customHeight="false" outlineLevel="0" collapsed="false">
      <c r="A39" s="35" t="s">
        <v>222</v>
      </c>
      <c r="B39" s="17" t="s">
        <v>205</v>
      </c>
      <c r="C39" s="31" t="n">
        <f aca="false">0</f>
        <v>0</v>
      </c>
      <c r="D39" s="31" t="n">
        <f aca="false">D37+D38</f>
        <v>76715.9999999999</v>
      </c>
      <c r="E39" s="31" t="n">
        <f aca="false">E37+E38</f>
        <v>81533.4896361996</v>
      </c>
      <c r="F39" s="31" t="n">
        <f aca="false">F37+F38</f>
        <v>86476.7729265282</v>
      </c>
      <c r="G39" s="31" t="n">
        <f aca="false">G37+G38</f>
        <v>91550.2121453796</v>
      </c>
      <c r="H39" s="31" t="n">
        <f aca="false">H37+H38</f>
        <v>96758.3505868694</v>
      </c>
      <c r="I39" s="31" t="n">
        <f aca="false">I37+I38</f>
        <v>102105.92054971</v>
      </c>
      <c r="J39" s="31" t="n">
        <f aca="false">J37+J38</f>
        <v>107597.851680412</v>
      </c>
      <c r="K39" s="31" t="n">
        <f aca="false">K37+K38</f>
        <v>113239.27969095</v>
      </c>
      <c r="L39" s="31" t="n">
        <f aca="false">L37+L38</f>
        <v>119035.555467759</v>
      </c>
      <c r="M39" s="31" t="n">
        <f aca="false">M37+M38</f>
        <v>124992.254589686</v>
      </c>
      <c r="N39" s="31" t="n">
        <f aca="false">N37+N38</f>
        <v>131115.187273309</v>
      </c>
      <c r="O39" s="31" t="n">
        <f aca="false">O37+O38</f>
        <v>137410.408764879</v>
      </c>
      <c r="P39" s="31" t="n">
        <f aca="false">P37+P38</f>
        <v>143884.230198999</v>
      </c>
      <c r="Q39" s="31" t="n">
        <f aca="false">Q37+Q38</f>
        <v>150543.229945056</v>
      </c>
      <c r="R39" s="31" t="n">
        <f aca="false">R37+R38</f>
        <v>157394.265463375</v>
      </c>
      <c r="S39" s="31" t="n">
        <f aca="false">S37+S38</f>
        <v>164444.485694056</v>
      </c>
      <c r="T39" s="31" t="n">
        <f aca="false">T37+T38</f>
        <v>171701.344002485</v>
      </c>
      <c r="U39" s="31" t="n">
        <f aca="false">U37+U38</f>
        <v>179172.611706584</v>
      </c>
      <c r="V39" s="31" t="n">
        <f aca="false">V37+V38</f>
        <v>186866.392212006</v>
      </c>
      <c r="W39" s="31" t="n">
        <f aca="false">W37+W38</f>
        <v>194791.135782664</v>
      </c>
      <c r="X39" s="31" t="n">
        <f aca="false">X37+X38</f>
        <v>202955.654975187</v>
      </c>
      <c r="Y39" s="31" t="n">
        <f aca="false">Y37+Y38</f>
        <v>211369.14076723</v>
      </c>
      <c r="Z39" s="31" t="n">
        <f aca="false">Z37+Z38</f>
        <v>17792.2355036004</v>
      </c>
      <c r="AA39" s="31" t="n">
        <f aca="false">AA37+AA38</f>
        <v>14566.396512821</v>
      </c>
      <c r="AB39" s="31" t="n">
        <f aca="false">AB37+AB38</f>
        <v>11303.9301607303</v>
      </c>
      <c r="AC39" s="31" t="n">
        <f aca="false">AC37+AC38</f>
        <v>104723.96445301</v>
      </c>
      <c r="AD39" s="31" t="n">
        <f aca="false">AD37+AD38</f>
        <v>101385.610652689</v>
      </c>
      <c r="AE39" s="31" t="n">
        <f aca="false">AE37+AE38</f>
        <v>98007.9629418091</v>
      </c>
      <c r="AF39" s="31" t="n">
        <f aca="false">AF37+AF38</f>
        <v>94590.0980763312</v>
      </c>
      <c r="AG39" s="31" t="n">
        <f aca="false">AG37+AG38</f>
        <v>98631.0750341653</v>
      </c>
    </row>
    <row r="41" customFormat="false" ht="19.5" hidden="false" customHeight="true" outlineLevel="0" collapsed="false">
      <c r="A41" s="15" t="s">
        <v>223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customFormat="false" ht="15" hidden="false" customHeight="false" outlineLevel="0" collapsed="false">
      <c r="A42" s="36" t="s">
        <v>224</v>
      </c>
      <c r="B42" s="17" t="s">
        <v>205</v>
      </c>
      <c r="C42" s="29" t="n">
        <f aca="false">0</f>
        <v>0</v>
      </c>
      <c r="D42" s="29" t="n">
        <f aca="false">D28+D38</f>
        <v>299978</v>
      </c>
      <c r="E42" s="29" t="n">
        <f aca="false">E28+E38</f>
        <v>302197.880121267</v>
      </c>
      <c r="F42" s="29" t="n">
        <f aca="false">F28+F38</f>
        <v>304426.661468491</v>
      </c>
      <c r="G42" s="29" t="n">
        <f aca="false">G28+G38</f>
        <v>306663.446156797</v>
      </c>
      <c r="H42" s="29" t="n">
        <f aca="false">H28+H38</f>
        <v>308907.280613868</v>
      </c>
      <c r="I42" s="29" t="n">
        <f aca="false">I28+I38</f>
        <v>311157.152912991</v>
      </c>
      <c r="J42" s="29" t="n">
        <f aca="false">J28+J38</f>
        <v>313411.989985108</v>
      </c>
      <c r="K42" s="29" t="n">
        <f aca="false">K28+K38</f>
        <v>315670.654704424</v>
      </c>
      <c r="L42" s="29" t="n">
        <f aca="false">L28+L38</f>
        <v>317931.942841907</v>
      </c>
      <c r="M42" s="29" t="n">
        <f aca="false">M28+M38</f>
        <v>320194.579880738</v>
      </c>
      <c r="N42" s="29" t="n">
        <f aca="false">N28+N38</f>
        <v>322457.217687525</v>
      </c>
      <c r="O42" s="29" t="n">
        <f aca="false">O28+O38</f>
        <v>324718.431032801</v>
      </c>
      <c r="P42" s="29" t="n">
        <f aca="false">P28+P38</f>
        <v>326976.713954045</v>
      </c>
      <c r="Q42" s="29" t="n">
        <f aca="false">Q28+Q38</f>
        <v>329230.475954146</v>
      </c>
      <c r="R42" s="29" t="n">
        <f aca="false">R28+R38</f>
        <v>331478.038027941</v>
      </c>
      <c r="S42" s="29" t="n">
        <f aca="false">S28+S38</f>
        <v>333717.628509096</v>
      </c>
      <c r="T42" s="29" t="n">
        <f aca="false">T28+T38</f>
        <v>335947.378729269</v>
      </c>
      <c r="U42" s="29" t="n">
        <f aca="false">U28+U38</f>
        <v>338165.31848114</v>
      </c>
      <c r="V42" s="29" t="n">
        <f aca="false">V28+V38</f>
        <v>340369.371276484</v>
      </c>
      <c r="W42" s="29" t="n">
        <f aca="false">W28+W38</f>
        <v>342557.34939011</v>
      </c>
      <c r="X42" s="29" t="n">
        <f aca="false">X28+X38</f>
        <v>344726.948680036</v>
      </c>
      <c r="Y42" s="29" t="n">
        <f aca="false">Y28+Y38</f>
        <v>346875.743173865</v>
      </c>
      <c r="Z42" s="29" t="n">
        <f aca="false">Z28+Z38</f>
        <v>146752.2355036</v>
      </c>
      <c r="AA42" s="29" t="n">
        <f aca="false">AA28+AA38</f>
        <v>143526.396512821</v>
      </c>
      <c r="AB42" s="29" t="n">
        <f aca="false">AB28+AB38</f>
        <v>140263.93016073</v>
      </c>
      <c r="AC42" s="29" t="n">
        <f aca="false">AC28+AC38</f>
        <v>104723.96445301</v>
      </c>
      <c r="AD42" s="29" t="n">
        <f aca="false">AD28+AD38</f>
        <v>101385.610652689</v>
      </c>
      <c r="AE42" s="29" t="n">
        <f aca="false">AE28+AE38</f>
        <v>98007.9629418091</v>
      </c>
      <c r="AF42" s="29" t="n">
        <f aca="false">AF28+AF38</f>
        <v>94590.0980763312</v>
      </c>
      <c r="AG42" s="29" t="n">
        <f aca="false">AG28+AG38</f>
        <v>98631.0750341653</v>
      </c>
    </row>
    <row r="43" customFormat="false" ht="15" hidden="false" customHeight="false" outlineLevel="0" collapsed="false">
      <c r="A43" s="35" t="s">
        <v>225</v>
      </c>
      <c r="B43" s="17" t="s">
        <v>226</v>
      </c>
      <c r="C43" s="39" t="n">
        <f aca="false">0</f>
        <v>0</v>
      </c>
      <c r="D43" s="39" t="n">
        <f aca="false">IFERROR(IF((D33+D34)=0,0,D42/(-(D33+D34))),0)</f>
        <v>1.97319343932809</v>
      </c>
      <c r="E43" s="39" t="n">
        <f aca="false">IFERROR(IF((E33+E34)=0,0,E42/(-(E33+E34))),0)</f>
        <v>1.98779535310636</v>
      </c>
      <c r="F43" s="39" t="n">
        <f aca="false">IFERROR(IF((F33+F34)=0,0,F42/(-(F33+F34))),0)</f>
        <v>2.00245581731387</v>
      </c>
      <c r="G43" s="39" t="n">
        <f aca="false">IFERROR(IF((G33+G34)=0,0,G42/(-(G33+G34))),0)</f>
        <v>2.01716892584901</v>
      </c>
      <c r="H43" s="39" t="n">
        <f aca="false">IFERROR(IF((H33+H34)=0,0,H42/(-(H33+H34))),0)</f>
        <v>2.03192840630968</v>
      </c>
      <c r="I43" s="39" t="n">
        <f aca="false">IFERROR(IF((I33+I34)=0,0,I42/(-(I33+I34))),0)</f>
        <v>2.04672760245058</v>
      </c>
      <c r="J43" s="39" t="n">
        <f aca="false">IFERROR(IF((J33+J34)=0,0,J42/(-(J33+J34))),0)</f>
        <v>2.06155945584468</v>
      </c>
      <c r="K43" s="39" t="n">
        <f aca="false">IFERROR(IF((K33+K34)=0,0,K42/(-(K33+K34))),0)</f>
        <v>2.07641648671293</v>
      </c>
      <c r="L43" s="39" t="n">
        <f aca="false">IFERROR(IF((L33+L34)=0,0,L42/(-(L33+L34))),0)</f>
        <v>2.09129077388503</v>
      </c>
      <c r="M43" s="39" t="n">
        <f aca="false">IFERROR(IF((M33+M34)=0,0,M42/(-(M33+M34))),0)</f>
        <v>2.1061739338521</v>
      </c>
      <c r="N43" s="39" t="n">
        <f aca="false">IFERROR(IF((N33+N34)=0,0,N42/(-(N33+N34))),0)</f>
        <v>2.12105709887063</v>
      </c>
      <c r="O43" s="39" t="n">
        <f aca="false">IFERROR(IF((O33+O34)=0,0,O42/(-(O33+O34))),0)</f>
        <v>2.13593089407501</v>
      </c>
      <c r="P43" s="39" t="n">
        <f aca="false">IFERROR(IF((P33+P34)=0,0,P42/(-(P33+P34))),0)</f>
        <v>2.15078541355426</v>
      </c>
      <c r="Q43" s="39" t="n">
        <f aca="false">IFERROR(IF((Q33+Q34)=0,0,Q42/(-(Q33+Q34))),0)</f>
        <v>2.16561019534628</v>
      </c>
      <c r="R43" s="39" t="n">
        <f aca="false">IFERROR(IF((R33+R34)=0,0,R42/(-(R33+R34))),0)</f>
        <v>2.18039419530126</v>
      </c>
      <c r="S43" s="39" t="n">
        <f aca="false">IFERROR(IF((S33+S34)=0,0,S42/(-(S33+S34))),0)</f>
        <v>2.1951257597633</v>
      </c>
      <c r="T43" s="39" t="n">
        <f aca="false">IFERROR(IF((T33+T34)=0,0,T42/(-(T33+T34))),0)</f>
        <v>2.20979259701732</v>
      </c>
      <c r="U43" s="39" t="n">
        <f aca="false">IFERROR(IF((U33+U34)=0,0,U42/(-(U33+U34))),0)</f>
        <v>2.22438174744574</v>
      </c>
      <c r="V43" s="39" t="n">
        <f aca="false">IFERROR(IF((V33+V34)=0,0,V42/(-(V33+V34))),0)</f>
        <v>2.23887955233712</v>
      </c>
      <c r="W43" s="39" t="n">
        <f aca="false">IFERROR(IF((W33+W34)=0,0,W42/(-(W33+W34))),0)</f>
        <v>2.25327162128618</v>
      </c>
      <c r="X43" s="39" t="n">
        <f aca="false">IFERROR(IF((X33+X34)=0,0,X42/(-(X33+X34))),0)</f>
        <v>2.26754279812199</v>
      </c>
      <c r="Y43" s="39" t="n">
        <f aca="false">IFERROR(IF((Y33+Y34)=0,0,Y42/(-(Y33+Y34))),0)</f>
        <v>2.28167712529827</v>
      </c>
      <c r="Z43" s="39" t="n">
        <f aca="false">IFERROR(IF((Z33+Z34)=0,0,Z42/(-(Z33+Z34))),0)</f>
        <v>5335839594521517</v>
      </c>
      <c r="AA43" s="39" t="n">
        <f aca="false">IFERROR(IF((AA33+AA34)=0,0,AA42/(-(AA33+AA34))),0)</f>
        <v>5218549664637418</v>
      </c>
      <c r="AB43" s="39" t="n">
        <f aca="false">IFERROR(IF((AB33+AB34)=0,0,AB42/(-(AB33+AB34))),0)</f>
        <v>5099927981788488</v>
      </c>
      <c r="AC43" s="39" t="n">
        <f aca="false">IFERROR(IF((AC33+AC34)=0,0,AC42/(-(AC33+AC34))),0)</f>
        <v>3807712189910203</v>
      </c>
      <c r="AD43" s="39" t="n">
        <f aca="false">IFERROR(IF((AD33+AD34)=0,0,AD42/(-(AD33+AD34))),0)</f>
        <v>3686331276514616</v>
      </c>
      <c r="AE43" s="39" t="n">
        <f aca="false">IFERROR(IF((AE33+AE34)=0,0,AE42/(-(AE33+AE34))),0)</f>
        <v>3563521655726139</v>
      </c>
      <c r="AF43" s="39" t="n">
        <f aca="false">IFERROR(IF((AF33+AF34)=0,0,AF42/(-(AF33+AF34))),0)</f>
        <v>3439249758842540</v>
      </c>
      <c r="AG43" s="39" t="n">
        <f aca="false">IFERROR(IF((AG33+AG34)=0,0,AG42/(-(AG33+AG34))),0)</f>
        <v>3586177707014280</v>
      </c>
    </row>
    <row r="45" customFormat="false" ht="15" hidden="false" customHeight="false" outlineLevel="0" collapsed="false">
      <c r="A45" s="35" t="s">
        <v>227</v>
      </c>
      <c r="B45" s="17" t="s">
        <v>205</v>
      </c>
      <c r="C45" s="31" t="n">
        <f aca="false">-Assumptions!$E$64</f>
        <v>-3224000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H45" s="31" t="n">
        <f aca="false">0</f>
        <v>0</v>
      </c>
      <c r="I45" s="31" t="n">
        <f aca="false">0</f>
        <v>0</v>
      </c>
      <c r="J45" s="31" t="n">
        <f aca="false">0</f>
        <v>0</v>
      </c>
      <c r="K45" s="31" t="n">
        <f aca="false">0</f>
        <v>0</v>
      </c>
      <c r="L45" s="31" t="n">
        <f aca="false">0</f>
        <v>0</v>
      </c>
      <c r="M45" s="31" t="n">
        <f aca="false">0</f>
        <v>0</v>
      </c>
      <c r="N45" s="31" t="n">
        <f aca="false">0</f>
        <v>0</v>
      </c>
      <c r="O45" s="31" t="n">
        <f aca="false">0</f>
        <v>0</v>
      </c>
      <c r="P45" s="31" t="n">
        <f aca="false">0</f>
        <v>0</v>
      </c>
      <c r="Q45" s="31" t="n">
        <f aca="false">0</f>
        <v>0</v>
      </c>
      <c r="R45" s="31" t="n">
        <f aca="false">0</f>
        <v>0</v>
      </c>
      <c r="S45" s="31" t="n">
        <f aca="false">0</f>
        <v>0</v>
      </c>
      <c r="T45" s="31" t="n">
        <f aca="false">0</f>
        <v>0</v>
      </c>
      <c r="U45" s="31" t="n">
        <f aca="false">0</f>
        <v>0</v>
      </c>
      <c r="V45" s="31" t="n">
        <f aca="false">0</f>
        <v>0</v>
      </c>
      <c r="W45" s="31" t="n">
        <f aca="false">0</f>
        <v>0</v>
      </c>
      <c r="X45" s="31" t="n">
        <f aca="false">0</f>
        <v>0</v>
      </c>
      <c r="Y45" s="31" t="n">
        <f aca="false">0</f>
        <v>0</v>
      </c>
      <c r="Z45" s="31" t="n">
        <f aca="false">0</f>
        <v>0</v>
      </c>
      <c r="AA45" s="31" t="n">
        <f aca="false">0</f>
        <v>0</v>
      </c>
      <c r="AB45" s="31" t="n">
        <f aca="false">0</f>
        <v>0</v>
      </c>
      <c r="AC45" s="31" t="n">
        <f aca="false">0</f>
        <v>0</v>
      </c>
      <c r="AD45" s="31" t="n">
        <f aca="false">0</f>
        <v>0</v>
      </c>
      <c r="AE45" s="31" t="n">
        <f aca="false">0</f>
        <v>0</v>
      </c>
      <c r="AF45" s="31" t="n">
        <f aca="false">0</f>
        <v>0</v>
      </c>
      <c r="AG45" s="31" t="n">
        <f aca="false">0</f>
        <v>0</v>
      </c>
    </row>
    <row r="46" customFormat="false" ht="15" hidden="false" customHeight="false" outlineLevel="0" collapsed="false">
      <c r="A46" s="36" t="s">
        <v>228</v>
      </c>
      <c r="B46" s="17" t="s">
        <v>205</v>
      </c>
      <c r="C46" s="29" t="n">
        <f aca="false">C45</f>
        <v>-3224000</v>
      </c>
      <c r="D46" s="29" t="n">
        <f aca="false">D28-MAX(0,D28+D31)*Assumptions!$E$55</f>
        <v>276402.5</v>
      </c>
      <c r="E46" s="29" t="n">
        <f aca="false">E28-MAX(0,E28+E31)*Assumptions!$E$55</f>
        <v>279271.7825</v>
      </c>
      <c r="F46" s="29" t="n">
        <f aca="false">F28-MAX(0,F28+F31)*Assumptions!$E$55</f>
        <v>282179.189333</v>
      </c>
      <c r="G46" s="29" t="n">
        <f aca="false">G28-MAX(0,G28+G31)*Assumptions!$E$55</f>
        <v>285125.137653943</v>
      </c>
      <c r="H46" s="29" t="n">
        <f aca="false">H28-MAX(0,H28+H31)*Assumptions!$E$55</f>
        <v>288110.048107119</v>
      </c>
      <c r="I46" s="29" t="n">
        <f aca="false">I28-MAX(0,I28+I31)*Assumptions!$E$55</f>
        <v>291134.344822171</v>
      </c>
      <c r="J46" s="29" t="n">
        <f aca="false">J28-MAX(0,J28+J31)*Assumptions!$E$55</f>
        <v>294198.455408934</v>
      </c>
      <c r="K46" s="29" t="n">
        <f aca="false">K28-MAX(0,K28+K31)*Assumptions!$E$55</f>
        <v>297302.810951056</v>
      </c>
      <c r="L46" s="29" t="n">
        <f aca="false">L28-MAX(0,L28+L31)*Assumptions!$E$55</f>
        <v>300447.84599837</v>
      </c>
      <c r="M46" s="29" t="n">
        <f aca="false">M28-MAX(0,M28+M31)*Assumptions!$E$55</f>
        <v>303633.998557975</v>
      </c>
      <c r="N46" s="29" t="n">
        <f aca="false">N28-MAX(0,N28+N31)*Assumptions!$E$55</f>
        <v>306861.710083971</v>
      </c>
      <c r="O46" s="29" t="n">
        <f aca="false">O28-MAX(0,O28+O31)*Assumptions!$E$55</f>
        <v>310131.425465821</v>
      </c>
      <c r="P46" s="29" t="n">
        <f aca="false">P28-MAX(0,P28+P31)*Assumptions!$E$55</f>
        <v>313443.593015284</v>
      </c>
      <c r="Q46" s="29" t="n">
        <f aca="false">Q28-MAX(0,Q28+Q31)*Assumptions!$E$55</f>
        <v>316798.664451874</v>
      </c>
      <c r="R46" s="29" t="n">
        <f aca="false">R28-MAX(0,R28+R31)*Assumptions!$E$55</f>
        <v>320197.0948868</v>
      </c>
      <c r="S46" s="29" t="n">
        <f aca="false">S28-MAX(0,S28+S31)*Assumptions!$E$55</f>
        <v>323639.342805336</v>
      </c>
      <c r="T46" s="29" t="n">
        <f aca="false">T28-MAX(0,T28+T31)*Assumptions!$E$55</f>
        <v>327125.870047573</v>
      </c>
      <c r="U46" s="29" t="n">
        <f aca="false">U28-MAX(0,U28+U31)*Assumptions!$E$55</f>
        <v>330657.141787501</v>
      </c>
      <c r="V46" s="29" t="n">
        <f aca="false">V28-MAX(0,V28+V31)*Assumptions!$E$55</f>
        <v>334233.626510365</v>
      </c>
      <c r="W46" s="29" t="n">
        <f aca="false">W28-MAX(0,W28+W31)*Assumptions!$E$55</f>
        <v>337855.795988249</v>
      </c>
      <c r="X46" s="29" t="n">
        <f aca="false">X28-MAX(0,X28+X31)*Assumptions!$E$55</f>
        <v>341524.125253823</v>
      </c>
      <c r="Y46" s="29" t="n">
        <f aca="false">Y28-MAX(0,Y28+Y31)*Assumptions!$E$55</f>
        <v>345239.092572206</v>
      </c>
      <c r="Z46" s="29" t="n">
        <f aca="false">Z28-MAX(0,Z28+Z31)*Assumptions!$E$55</f>
        <v>146752.2355036</v>
      </c>
      <c r="AA46" s="29" t="n">
        <f aca="false">AA28-MAX(0,AA28+AA31)*Assumptions!$E$55</f>
        <v>143526.396512821</v>
      </c>
      <c r="AB46" s="29" t="n">
        <f aca="false">AB28-MAX(0,AB28+AB31)*Assumptions!$E$55</f>
        <v>140263.93016073</v>
      </c>
      <c r="AC46" s="29" t="n">
        <f aca="false">AC28-MAX(0,AC28+AC31)*Assumptions!$E$55</f>
        <v>104723.96445301</v>
      </c>
      <c r="AD46" s="29" t="n">
        <f aca="false">AD28-MAX(0,AD28+AD31)*Assumptions!$E$55</f>
        <v>101385.610652689</v>
      </c>
      <c r="AE46" s="29" t="n">
        <f aca="false">AE28-MAX(0,AE28+AE31)*Assumptions!$E$55</f>
        <v>98007.9629418091</v>
      </c>
      <c r="AF46" s="29" t="n">
        <f aca="false">AF28-MAX(0,AF28+AF31)*Assumptions!$E$55</f>
        <v>94590.0980763312</v>
      </c>
      <c r="AG46" s="29" t="n">
        <f aca="false">AG28-MAX(0,AG28+AG31)*Assumptions!$E$55</f>
        <v>98631.0750341653</v>
      </c>
    </row>
    <row r="47" customFormat="false" ht="15" hidden="false" customHeight="false" outlineLevel="0" collapsed="false">
      <c r="A47" s="36" t="s">
        <v>229</v>
      </c>
      <c r="B47" s="17" t="s">
        <v>205</v>
      </c>
      <c r="C47" s="29" t="n">
        <f aca="false">-(Assumptions!$E$67+Assumptions!$E$68)</f>
        <v>-1128400</v>
      </c>
      <c r="D47" s="29" t="n">
        <f aca="false">D39-D31+D34</f>
        <v>147951.344112603</v>
      </c>
      <c r="E47" s="29" t="n">
        <f aca="false">E39-E31+E34</f>
        <v>150171.22423387</v>
      </c>
      <c r="F47" s="29" t="n">
        <f aca="false">F39-F31+F34</f>
        <v>152400.005581094</v>
      </c>
      <c r="G47" s="29" t="n">
        <f aca="false">G39-G31+G34</f>
        <v>154636.790269401</v>
      </c>
      <c r="H47" s="29" t="n">
        <f aca="false">H39-H31+H34</f>
        <v>156880.624726472</v>
      </c>
      <c r="I47" s="29" t="n">
        <f aca="false">I39-I31+I34</f>
        <v>159130.497025594</v>
      </c>
      <c r="J47" s="29" t="n">
        <f aca="false">J39-J31+J34</f>
        <v>161385.334097711</v>
      </c>
      <c r="K47" s="29" t="n">
        <f aca="false">K39-K31+K34</f>
        <v>163643.998817027</v>
      </c>
      <c r="L47" s="29" t="n">
        <f aca="false">L39-L31+L34</f>
        <v>165905.286954511</v>
      </c>
      <c r="M47" s="29" t="n">
        <f aca="false">M39-M31+M34</f>
        <v>168167.923993341</v>
      </c>
      <c r="N47" s="29" t="n">
        <f aca="false">N39-N31+N34</f>
        <v>170430.561800128</v>
      </c>
      <c r="O47" s="29" t="n">
        <f aca="false">O39-O31+O34</f>
        <v>172691.775145405</v>
      </c>
      <c r="P47" s="29" t="n">
        <f aca="false">P39-P31+P34</f>
        <v>174950.058066649</v>
      </c>
      <c r="Q47" s="29" t="n">
        <f aca="false">Q39-Q31+Q34</f>
        <v>177203.82006675</v>
      </c>
      <c r="R47" s="29" t="n">
        <f aca="false">R39-R31+R34</f>
        <v>179451.382140545</v>
      </c>
      <c r="S47" s="29" t="n">
        <f aca="false">S39-S31+S34</f>
        <v>181690.972621699</v>
      </c>
      <c r="T47" s="29" t="n">
        <f aca="false">T39-T31+T34</f>
        <v>183920.722841872</v>
      </c>
      <c r="U47" s="29" t="n">
        <f aca="false">U39-U31+U34</f>
        <v>186138.662593743</v>
      </c>
      <c r="V47" s="29" t="n">
        <f aca="false">V39-V31+V34</f>
        <v>188342.715389088</v>
      </c>
      <c r="W47" s="29" t="n">
        <f aca="false">W39-W31+W34</f>
        <v>190530.693502714</v>
      </c>
      <c r="X47" s="29" t="n">
        <f aca="false">X39-X31+X34</f>
        <v>192700.292792639</v>
      </c>
      <c r="Y47" s="29" t="n">
        <f aca="false">Y39-Y31+Y34</f>
        <v>194849.087286468</v>
      </c>
      <c r="Z47" s="29" t="n">
        <f aca="false">Z39-Z31+Z34</f>
        <v>146752.2355036</v>
      </c>
      <c r="AA47" s="29" t="n">
        <f aca="false">AA39-AA31+AA34</f>
        <v>143526.396512821</v>
      </c>
      <c r="AB47" s="29" t="n">
        <f aca="false">AB39-AB31+AB34</f>
        <v>140263.93016073</v>
      </c>
      <c r="AC47" s="29" t="n">
        <f aca="false">AC39-AC31+AC34</f>
        <v>104723.96445301</v>
      </c>
      <c r="AD47" s="29" t="n">
        <f aca="false">AD39-AD31+AD34</f>
        <v>101385.610652689</v>
      </c>
      <c r="AE47" s="29" t="n">
        <f aca="false">AE39-AE31+AE34</f>
        <v>98007.9629418091</v>
      </c>
      <c r="AF47" s="29" t="n">
        <f aca="false">AF39-AF31+AF34</f>
        <v>94590.0980763312</v>
      </c>
      <c r="AG47" s="29" t="n">
        <f aca="false">AG39-AG31+AG34</f>
        <v>98631.0750341653</v>
      </c>
    </row>
    <row r="48" customFormat="false" ht="15" hidden="false" customHeight="false" outlineLevel="0" collapsed="false">
      <c r="A48" s="35" t="s">
        <v>230</v>
      </c>
      <c r="B48" s="17" t="s">
        <v>205</v>
      </c>
      <c r="C48" s="31" t="n">
        <f aca="false">C46</f>
        <v>-3224000</v>
      </c>
      <c r="D48" s="31" t="n">
        <f aca="false">C48+D46</f>
        <v>-2947597.5</v>
      </c>
      <c r="E48" s="31" t="n">
        <f aca="false">D48+E46</f>
        <v>-2668325.7175</v>
      </c>
      <c r="F48" s="31" t="n">
        <f aca="false">E48+F46</f>
        <v>-2386146.528167</v>
      </c>
      <c r="G48" s="31" t="n">
        <f aca="false">F48+G46</f>
        <v>-2101021.39051306</v>
      </c>
      <c r="H48" s="31" t="n">
        <f aca="false">G48+H46</f>
        <v>-1812911.34240594</v>
      </c>
      <c r="I48" s="31" t="n">
        <f aca="false">H48+I46</f>
        <v>-1521776.99758377</v>
      </c>
      <c r="J48" s="31" t="n">
        <f aca="false">I48+J46</f>
        <v>-1227578.54217483</v>
      </c>
      <c r="K48" s="31" t="n">
        <f aca="false">J48+K46</f>
        <v>-930275.731223779</v>
      </c>
      <c r="L48" s="31" t="n">
        <f aca="false">K48+L46</f>
        <v>-629827.885225409</v>
      </c>
      <c r="M48" s="31" t="n">
        <f aca="false">L48+M46</f>
        <v>-326193.886667434</v>
      </c>
      <c r="N48" s="31" t="n">
        <f aca="false">M48+N46</f>
        <v>-19332.1765834635</v>
      </c>
      <c r="O48" s="31" t="n">
        <f aca="false">N48+O46</f>
        <v>290799.248882357</v>
      </c>
      <c r="P48" s="31" t="n">
        <f aca="false">O48+P46</f>
        <v>604242.841897641</v>
      </c>
      <c r="Q48" s="31" t="n">
        <f aca="false">P48+Q46</f>
        <v>921041.506349514</v>
      </c>
      <c r="R48" s="31" t="n">
        <f aca="false">Q48+R46</f>
        <v>1241238.60123631</v>
      </c>
      <c r="S48" s="31" t="n">
        <f aca="false">R48+S46</f>
        <v>1564877.94404165</v>
      </c>
      <c r="T48" s="31" t="n">
        <f aca="false">S48+T46</f>
        <v>1892003.81408922</v>
      </c>
      <c r="U48" s="31" t="n">
        <f aca="false">T48+U46</f>
        <v>2222660.95587672</v>
      </c>
      <c r="V48" s="31" t="n">
        <f aca="false">U48+V46</f>
        <v>2556894.58238709</v>
      </c>
      <c r="W48" s="31" t="n">
        <f aca="false">V48+W46</f>
        <v>2894750.37837534</v>
      </c>
      <c r="X48" s="31" t="n">
        <f aca="false">W48+X46</f>
        <v>3236274.50362916</v>
      </c>
      <c r="Y48" s="31" t="n">
        <f aca="false">X48+Y46</f>
        <v>3581513.59620137</v>
      </c>
      <c r="Z48" s="31" t="n">
        <f aca="false">Y48+Z46</f>
        <v>3728265.83170497</v>
      </c>
      <c r="AA48" s="31" t="n">
        <f aca="false">Z48+AA46</f>
        <v>3871792.22821779</v>
      </c>
      <c r="AB48" s="31" t="n">
        <f aca="false">AA48+AB46</f>
        <v>4012056.15837852</v>
      </c>
      <c r="AC48" s="31" t="n">
        <f aca="false">AB48+AC46</f>
        <v>4116780.12283153</v>
      </c>
      <c r="AD48" s="31" t="n">
        <f aca="false">AC48+AD46</f>
        <v>4218165.73348422</v>
      </c>
      <c r="AE48" s="31" t="n">
        <f aca="false">AD48+AE46</f>
        <v>4316173.69642603</v>
      </c>
      <c r="AF48" s="31" t="n">
        <f aca="false">AE48+AF46</f>
        <v>4410763.79450236</v>
      </c>
      <c r="AG48" s="31" t="n">
        <f aca="false">AF48+AG46</f>
        <v>4509394.86953652</v>
      </c>
    </row>
    <row r="49" customFormat="false" ht="15" hidden="false" customHeight="false" outlineLevel="0" collapsed="false">
      <c r="A49" s="35" t="s">
        <v>231</v>
      </c>
      <c r="B49" s="17" t="s">
        <v>205</v>
      </c>
      <c r="C49" s="31" t="n">
        <f aca="false">C46</f>
        <v>-3224000</v>
      </c>
      <c r="D49" s="31" t="n">
        <f aca="false">C49+D46/(1+Assumptions!$E$59)^1</f>
        <v>-2968071.75925926</v>
      </c>
      <c r="E49" s="31" t="n">
        <f aca="false">D49+E46/(1+Assumptions!$E$59)^2</f>
        <v>-2728641.21870713</v>
      </c>
      <c r="F49" s="31" t="n">
        <f aca="false">E49+F46/(1+Assumptions!$E$59)^3</f>
        <v>-2504638.28046966</v>
      </c>
      <c r="G49" s="31" t="n">
        <f aca="false">F49+G46/(1+Assumptions!$E$59)^4</f>
        <v>-2295062.79251132</v>
      </c>
      <c r="H49" s="31" t="n">
        <f aca="false">G49+H46/(1+Assumptions!$E$59)^5</f>
        <v>-2098979.93487303</v>
      </c>
      <c r="I49" s="31" t="n">
        <f aca="false">H49+I46/(1+Assumptions!$E$59)^6</f>
        <v>-1915515.91342358</v>
      </c>
      <c r="J49" s="31" t="n">
        <f aca="false">I49+J46/(1+Assumptions!$E$59)^7</f>
        <v>-1743853.94039151</v>
      </c>
      <c r="K49" s="31" t="n">
        <f aca="false">J49+K46/(1+Assumptions!$E$59)^8</f>
        <v>-1583230.48235969</v>
      </c>
      <c r="L49" s="31" t="n">
        <f aca="false">K49+L46/(1+Assumptions!$E$59)^9</f>
        <v>-1432931.75772213</v>
      </c>
      <c r="M49" s="31" t="n">
        <f aca="false">L49+M46/(1+Assumptions!$E$59)^10</f>
        <v>-1292290.46682896</v>
      </c>
      <c r="N49" s="31" t="n">
        <f aca="false">M49+N46/(1+Assumptions!$E$59)^11</f>
        <v>-1160682.7391869</v>
      </c>
      <c r="O49" s="31" t="n">
        <f aca="false">N49+O46/(1+Assumptions!$E$59)^12</f>
        <v>-1037525.28314593</v>
      </c>
      <c r="P49" s="31" t="n">
        <f aca="false">O49+P46/(1+Assumptions!$E$59)^13</f>
        <v>-922272.724492408</v>
      </c>
      <c r="Q49" s="31" t="n">
        <f aca="false">P49+Q46/(1+Assumptions!$E$59)^14</f>
        <v>-814415.121290664</v>
      </c>
      <c r="R49" s="31" t="n">
        <f aca="false">Q49+R46/(1+Assumptions!$E$59)^15</f>
        <v>-713475.643173425</v>
      </c>
      <c r="S49" s="31" t="n">
        <f aca="false">R49+S46/(1+Assumptions!$E$59)^16</f>
        <v>-619008.404080838</v>
      </c>
      <c r="T49" s="31" t="n">
        <f aca="false">S49+T46/(1+Assumptions!$E$59)^17</f>
        <v>-530596.438192423</v>
      </c>
      <c r="U49" s="31" t="n">
        <f aca="false">T49+U46/(1+Assumptions!$E$59)^18</f>
        <v>-447849.809489799</v>
      </c>
      <c r="V49" s="31" t="n">
        <f aca="false">U49+V46/(1+Assumptions!$E$59)^19</f>
        <v>-370403.846034087</v>
      </c>
      <c r="W49" s="31" t="n">
        <f aca="false">V49+W46/(1+Assumptions!$E$59)^20</f>
        <v>-297917.490643737</v>
      </c>
      <c r="X49" s="31" t="n">
        <f aca="false">W49+X46/(1+Assumptions!$E$59)^21</f>
        <v>-230071.76021925</v>
      </c>
      <c r="Y49" s="31" t="n">
        <f aca="false">X49+Y46/(1+Assumptions!$E$59)^22</f>
        <v>-166568.306483679</v>
      </c>
      <c r="Z49" s="31" t="n">
        <f aca="false">Y49+Z46/(1+Assumptions!$E$59)^23</f>
        <v>-141574.157773628</v>
      </c>
      <c r="AA49" s="31" t="n">
        <f aca="false">Z49+AA46/(1+Assumptions!$E$59)^24</f>
        <v>-118940.140157646</v>
      </c>
      <c r="AB49" s="31" t="n">
        <f aca="false">AA49+AB46/(1+Assumptions!$E$59)^25</f>
        <v>-98459.0949407249</v>
      </c>
      <c r="AC49" s="31" t="n">
        <f aca="false">AB49+AC46/(1+Assumptions!$E$59)^26</f>
        <v>-84300.2302336852</v>
      </c>
      <c r="AD49" s="31" t="n">
        <f aca="false">AC49+AD46/(1+Assumptions!$E$59)^27</f>
        <v>-71608.0882105181</v>
      </c>
      <c r="AE49" s="31" t="n">
        <f aca="false">AD49+AE46/(1+Assumptions!$E$59)^28</f>
        <v>-60247.6205690688</v>
      </c>
      <c r="AF49" s="31" t="n">
        <f aca="false">AE49+AF46/(1+Assumptions!$E$59)^29</f>
        <v>-50095.5000060229</v>
      </c>
      <c r="AG49" s="31" t="n">
        <f aca="false">AF49+AG46/(1+Assumptions!$E$59)^30</f>
        <v>-40293.8068626083</v>
      </c>
    </row>
  </sheetData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6" min="6" style="0" width="32"/>
  </cols>
  <sheetData>
    <row r="1" customFormat="false" ht="30" hidden="false" customHeight="true" outlineLevel="0" collapsed="false">
      <c r="A1" s="1" t="s">
        <v>236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14" t="s">
        <v>237</v>
      </c>
      <c r="B3" s="14" t="s">
        <v>44</v>
      </c>
      <c r="C3" s="14" t="s">
        <v>45</v>
      </c>
      <c r="D3" s="14" t="s">
        <v>46</v>
      </c>
      <c r="E3" s="14" t="s">
        <v>47</v>
      </c>
      <c r="F3" s="14" t="s">
        <v>238</v>
      </c>
    </row>
    <row r="4" customFormat="false" ht="15" hidden="false" customHeight="false" outlineLevel="0" collapsed="false">
      <c r="A4" s="40" t="s">
        <v>239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10" t="s">
        <v>240</v>
      </c>
      <c r="B5" s="17" t="s">
        <v>149</v>
      </c>
      <c r="C5" s="41" t="n">
        <f aca="false">IRR(CF_Conv!C47:AG47)</f>
        <v>0.121160407701272</v>
      </c>
      <c r="D5" s="41" t="n">
        <f aca="false">IRR(CF_Regen!C47:AG47)</f>
        <v>0.0961265309305861</v>
      </c>
      <c r="E5" s="41" t="n">
        <f aca="false">IRR(CF_Future!C47:AG47)</f>
        <v>0.138583090896044</v>
      </c>
      <c r="F5" s="19" t="s">
        <v>241</v>
      </c>
    </row>
    <row r="6" customFormat="false" ht="15" hidden="false" customHeight="false" outlineLevel="0" collapsed="false">
      <c r="A6" s="10" t="s">
        <v>242</v>
      </c>
      <c r="B6" s="17" t="s">
        <v>149</v>
      </c>
      <c r="C6" s="41" t="n">
        <f aca="false">IRR(CF_Conv!C46:AG46)</f>
        <v>0.0790822989557417</v>
      </c>
      <c r="D6" s="41" t="n">
        <f aca="false">IRR(CF_Regen!C46:AG46)</f>
        <v>0.0636423103516442</v>
      </c>
      <c r="E6" s="41" t="n">
        <f aca="false">IRR(CF_Future!C46:AG46)</f>
        <v>0.078588174961385</v>
      </c>
      <c r="F6" s="19" t="s">
        <v>243</v>
      </c>
    </row>
    <row r="7" customFormat="false" ht="15" hidden="false" customHeight="false" outlineLevel="0" collapsed="false">
      <c r="A7" s="35" t="s">
        <v>244</v>
      </c>
    </row>
    <row r="8" customFormat="false" ht="15" hidden="false" customHeight="false" outlineLevel="0" collapsed="false">
      <c r="A8" s="10" t="s">
        <v>245</v>
      </c>
      <c r="B8" s="17" t="s">
        <v>205</v>
      </c>
      <c r="C8" s="42" t="n">
        <f aca="false">NPV(Assumptions!$C$58,CF_Conv!D46:AG46)+CF_Conv!C46</f>
        <v>803711.263107215</v>
      </c>
      <c r="D8" s="42" t="n">
        <f aca="false">NPV(Assumptions!$D$58,CF_Regen!D46:AG46)+CF_Regen!C46</f>
        <v>445545.770668635</v>
      </c>
      <c r="E8" s="42" t="n">
        <f aca="false">NPV(Assumptions!$E$58,CF_Future!D46:AG46)+CF_Future!C46</f>
        <v>1026316.11728425</v>
      </c>
      <c r="F8" s="19" t="s">
        <v>246</v>
      </c>
    </row>
    <row r="9" customFormat="false" ht="15" hidden="false" customHeight="false" outlineLevel="0" collapsed="false">
      <c r="A9" s="10" t="s">
        <v>247</v>
      </c>
      <c r="B9" s="17" t="s">
        <v>205</v>
      </c>
      <c r="C9" s="42" t="n">
        <f aca="false">NPV(Assumptions!$C$59,CF_Conv!D46:AG46)+CF_Conv!C46</f>
        <v>-20553.814963006</v>
      </c>
      <c r="D9" s="42" t="n">
        <f aca="false">NPV(Assumptions!$D$59,CF_Regen!D46:AG46)+CF_Regen!C46</f>
        <v>-431792.859070613</v>
      </c>
      <c r="E9" s="42" t="n">
        <f aca="false">NPV(Assumptions!$E$59,CF_Future!D46:AG46)+CF_Future!C46</f>
        <v>-40293.8068626081</v>
      </c>
      <c r="F9" s="19" t="s">
        <v>248</v>
      </c>
    </row>
    <row r="10" customFormat="false" ht="15" hidden="false" customHeight="false" outlineLevel="0" collapsed="false">
      <c r="A10" s="10" t="s">
        <v>249</v>
      </c>
      <c r="B10" s="17" t="s">
        <v>205</v>
      </c>
      <c r="C10" s="42" t="n">
        <f aca="false">NPV(Assumptions!$C$60,CF_Conv!D46:AG46)+CF_Conv!C46</f>
        <v>-413792.930516109</v>
      </c>
      <c r="D10" s="42" t="n">
        <f aca="false">NPV(Assumptions!$D$60,CF_Regen!D46:AG46)+CF_Regen!C46</f>
        <v>-845731.093671525</v>
      </c>
      <c r="E10" s="42" t="n">
        <f aca="false">NPV(Assumptions!$E$60,CF_Future!D46:AG46)+CF_Future!C46</f>
        <v>-533658.622226765</v>
      </c>
      <c r="F10" s="19" t="s">
        <v>250</v>
      </c>
    </row>
    <row r="12" customFormat="false" ht="15" hidden="false" customHeight="false" outlineLevel="0" collapsed="false">
      <c r="A12" s="40" t="s">
        <v>251</v>
      </c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10" t="s">
        <v>252</v>
      </c>
      <c r="B13" s="17" t="s">
        <v>84</v>
      </c>
      <c r="C13" s="42" t="n">
        <f aca="false">(-CF_Conv!C45-NPV(Assumptions!$C$59,CF_Conv!D26:AG26))/NPV(Assumptions!$C$59,CF_Conv!D6:AG6)</f>
        <v>61.5384656211651</v>
      </c>
      <c r="D13" s="42" t="n">
        <f aca="false">(-CF_Regen!C45-NPV(Assumptions!$D$59,CF_Regen!D26:AG26))/NPV(Assumptions!$D$59,CF_Regen!D6:AG6)</f>
        <v>75.898933968154</v>
      </c>
      <c r="E13" s="42" t="n">
        <f aca="false">(-CF_Future!C45-NPV(Assumptions!$E$59,CF_Future!D26:AG26))/NPV(Assumptions!$E$59,CF_Future!D6:AG6)</f>
        <v>75.3822155561321</v>
      </c>
      <c r="F13" s="19" t="s">
        <v>253</v>
      </c>
    </row>
    <row r="14" customFormat="false" ht="15" hidden="false" customHeight="false" outlineLevel="0" collapsed="false">
      <c r="A14" s="10" t="s">
        <v>254</v>
      </c>
      <c r="B14" s="17" t="s">
        <v>84</v>
      </c>
      <c r="C14" s="42" t="n">
        <f aca="false">(NPV(Assumptions!$C$59,CF_Conv!D16:AG16)+CF_Conv!C16)/NPV(Assumptions!$C$59,CF_Conv!D6:AG6)</f>
        <v>69.3261836770568</v>
      </c>
      <c r="D14" s="42" t="n">
        <f aca="false">(NPV(Assumptions!$D$59,CF_Regen!D16:AG16)+CF_Regen!C16)/NPV(Assumptions!$D$59,CF_Regen!D6:AG6)</f>
        <v>76.6171300367315</v>
      </c>
      <c r="E14" s="42" t="n">
        <f aca="false">(NPV(Assumptions!$E$59,CF_Future!D16:AG16)+CF_Future!C16)/NPV(Assumptions!$E$59,CF_Future!D6:AG6)</f>
        <v>84.2369137156353</v>
      </c>
      <c r="F14" s="19" t="s">
        <v>255</v>
      </c>
    </row>
    <row r="15" customFormat="false" ht="15" hidden="false" customHeight="false" outlineLevel="0" collapsed="false">
      <c r="A15" s="10" t="s">
        <v>256</v>
      </c>
      <c r="B15" s="17" t="s">
        <v>84</v>
      </c>
      <c r="C15" s="5" t="n">
        <f aca="false">C14-C13</f>
        <v>7.7877180558917</v>
      </c>
      <c r="D15" s="5" t="n">
        <f aca="false">D14-D13</f>
        <v>0.718196068577569</v>
      </c>
      <c r="E15" s="5" t="n">
        <f aca="false">E14-E13</f>
        <v>8.85469815950312</v>
      </c>
      <c r="F15" s="10" t="s">
        <v>257</v>
      </c>
    </row>
    <row r="17" customFormat="false" ht="15" hidden="false" customHeight="false" outlineLevel="0" collapsed="false">
      <c r="A17" s="40" t="s">
        <v>258</v>
      </c>
      <c r="B17" s="16"/>
      <c r="C17" s="16"/>
      <c r="D17" s="16"/>
      <c r="E17" s="16"/>
      <c r="F17" s="16"/>
    </row>
    <row r="18" customFormat="false" ht="15" hidden="false" customHeight="false" outlineLevel="0" collapsed="false">
      <c r="A18" s="10" t="s">
        <v>259</v>
      </c>
      <c r="B18" s="17" t="s">
        <v>260</v>
      </c>
      <c r="C18" s="43" t="n">
        <f aca="false">IFERROR(MATCH(TRUE(),CF_Conv!D48:AG48&gt;0,0),"")</f>
        <v>10</v>
      </c>
      <c r="D18" s="43" t="n">
        <f aca="false">IFERROR(MATCH(TRUE(),CF_Regen!D48:AG48&gt;0,0),"")</f>
        <v>13</v>
      </c>
      <c r="E18" s="43" t="n">
        <f aca="false">IFERROR(MATCH(TRUE(),CF_Future!D48:AG48&gt;0,0),"")</f>
        <v>12</v>
      </c>
      <c r="F18" s="19" t="s">
        <v>261</v>
      </c>
    </row>
    <row r="19" customFormat="false" ht="23.85" hidden="false" customHeight="false" outlineLevel="0" collapsed="false">
      <c r="A19" s="10" t="s">
        <v>262</v>
      </c>
      <c r="B19" s="17" t="s">
        <v>260</v>
      </c>
      <c r="C19" s="43" t="str">
        <f aca="false">IFERROR(MATCH(TRUE(),CF_Conv!D49:AG49&gt;0,0),"")</f>
        <v/>
      </c>
      <c r="D19" s="43" t="str">
        <f aca="false">IFERROR(MATCH(TRUE(),CF_Regen!D49:AG49&gt;0,0),"")</f>
        <v/>
      </c>
      <c r="E19" s="43" t="str">
        <f aca="false">IFERROR(MATCH(TRUE(),CF_Future!D49:AG49&gt;0,0),"")</f>
        <v/>
      </c>
      <c r="F19" s="19" t="s">
        <v>263</v>
      </c>
    </row>
    <row r="20" customFormat="false" ht="15" hidden="false" customHeight="false" outlineLevel="0" collapsed="false">
      <c r="A20" s="10" t="s">
        <v>264</v>
      </c>
      <c r="B20" s="17" t="s">
        <v>226</v>
      </c>
      <c r="C20" s="44" t="n">
        <f aca="false">SMALL(CF_Conv!D43:AG43,COUNTIF(CF_Conv!D43:AG43,"&lt;=0")+1)</f>
        <v>0.988500871022115</v>
      </c>
      <c r="D20" s="44" t="n">
        <f aca="false">SMALL(CF_Regen!D43:AG43,COUNTIF(CF_Regen!D43:AG43,"&lt;=0")+1)</f>
        <v>1.82991015450972</v>
      </c>
      <c r="E20" s="44" t="n">
        <f aca="false">SMALL(CF_Future!D43:AG43,COUNTIF(CF_Future!D43:AG43,"&lt;=0")+1)</f>
        <v>1.97319343932809</v>
      </c>
      <c r="F20" s="19" t="s">
        <v>265</v>
      </c>
    </row>
    <row r="21" customFormat="false" ht="15" hidden="false" customHeight="false" outlineLevel="0" collapsed="false">
      <c r="A21" s="10" t="s">
        <v>266</v>
      </c>
      <c r="B21" s="17" t="s">
        <v>226</v>
      </c>
      <c r="C21" s="44" t="n">
        <f aca="false">AVERAGEIF(CF_Conv!D43:AG43,"&gt;0")</f>
        <v>1.87514251013693</v>
      </c>
      <c r="D21" s="44" t="n">
        <f aca="false">AVERAGEIF(CF_Regen!D43:AG43,"&gt;0")</f>
        <v>1.96159428855877</v>
      </c>
      <c r="E21" s="44" t="n">
        <f aca="false">AVERAGEIF(CF_Future!D43:AG43,"&gt;0")</f>
        <v>1124576994298510</v>
      </c>
      <c r="F21" s="19" t="s">
        <v>267</v>
      </c>
    </row>
    <row r="23" customFormat="false" ht="15" hidden="false" customHeight="false" outlineLevel="0" collapsed="false">
      <c r="A23" s="40" t="s">
        <v>268</v>
      </c>
      <c r="B23" s="16"/>
      <c r="C23" s="16"/>
      <c r="D23" s="16"/>
      <c r="E23" s="16"/>
      <c r="F23" s="16"/>
    </row>
    <row r="24" customFormat="false" ht="15" hidden="false" customHeight="false" outlineLevel="0" collapsed="false">
      <c r="A24" s="10" t="s">
        <v>269</v>
      </c>
      <c r="B24" s="17" t="s">
        <v>205</v>
      </c>
      <c r="C24" s="42" t="n">
        <f aca="false">NPV(Assumptions!$C$59,CF_Conv!D16:AG16)+CF_Conv!C16</f>
        <v>4572158.49095472</v>
      </c>
      <c r="D24" s="42" t="n">
        <f aca="false">NPV(Assumptions!$D$59,CF_Regen!D16:AG16)+CF_Regen!C16</f>
        <v>4863415.78594396</v>
      </c>
      <c r="E24" s="42" t="n">
        <f aca="false">NPV(Assumptions!$E$59,CF_Future!D16:AG16)+CF_Future!C16</f>
        <v>5347095.82214072</v>
      </c>
      <c r="F24" s="19" t="s">
        <v>270</v>
      </c>
    </row>
    <row r="25" customFormat="false" ht="15" hidden="false" customHeight="false" outlineLevel="0" collapsed="false">
      <c r="A25" s="10" t="s">
        <v>271</v>
      </c>
      <c r="B25" s="17" t="s">
        <v>205</v>
      </c>
      <c r="C25" s="42" t="n">
        <f aca="false">NPV(Assumptions!$C$59,CF_Conv!D26:AG26)+CF_Conv!C26</f>
        <v>-1226047.62496109</v>
      </c>
      <c r="D25" s="42" t="n">
        <f aca="false">NPV(Assumptions!$D$59,CF_Regen!D26:AG26)+CF_Regen!C26</f>
        <v>-1593826.94575053</v>
      </c>
      <c r="E25" s="42" t="n">
        <f aca="false">NPV(Assumptions!$E$59,CF_Future!D26:AG26)+CF_Future!C26</f>
        <v>-1561027.27705099</v>
      </c>
      <c r="F25" s="19" t="s">
        <v>272</v>
      </c>
    </row>
    <row r="26" customFormat="false" ht="15" hidden="false" customHeight="false" outlineLevel="0" collapsed="false">
      <c r="A26" s="10" t="s">
        <v>273</v>
      </c>
      <c r="B26" s="17" t="s">
        <v>205</v>
      </c>
      <c r="C26" s="42" t="n">
        <f aca="false">Assumptions!C64</f>
        <v>2832500</v>
      </c>
      <c r="D26" s="42" t="n">
        <f aca="false">Assumptions!D64</f>
        <v>3224000</v>
      </c>
      <c r="E26" s="42" t="n">
        <f aca="false">Assumptions!E64</f>
        <v>3224000</v>
      </c>
      <c r="F26" s="19" t="s">
        <v>274</v>
      </c>
    </row>
    <row r="28" customFormat="false" ht="15" hidden="false" customHeight="false" outlineLevel="0" collapsed="false">
      <c r="A28" s="40" t="s">
        <v>275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0" t="s">
        <v>276</v>
      </c>
      <c r="B29" s="17"/>
      <c r="C29" s="45" t="str">
        <f aca="false">IF(C5&gt;=0.08,"YES","NO")</f>
        <v>YES</v>
      </c>
      <c r="D29" s="45" t="str">
        <f aca="false">IF(D5&gt;=0.08,"YES","NO")</f>
        <v>YES</v>
      </c>
      <c r="E29" s="45" t="str">
        <f aca="false">IF(E5&gt;=0.08,"YES","NO")</f>
        <v>YES</v>
      </c>
      <c r="F29" s="19" t="s">
        <v>277</v>
      </c>
    </row>
    <row r="30" customFormat="false" ht="23.85" hidden="false" customHeight="false" outlineLevel="0" collapsed="false">
      <c r="A30" s="10" t="s">
        <v>278</v>
      </c>
      <c r="B30" s="17"/>
      <c r="C30" s="45" t="str">
        <f aca="false">IF(C8&gt;0,"YES","NO")</f>
        <v>YES</v>
      </c>
      <c r="D30" s="45" t="str">
        <f aca="false">IF(D8&gt;0,"YES","NO")</f>
        <v>YES</v>
      </c>
      <c r="E30" s="45" t="str">
        <f aca="false">IF(E8&gt;0,"YES","NO")</f>
        <v>YES</v>
      </c>
      <c r="F30" s="19" t="s">
        <v>279</v>
      </c>
    </row>
    <row r="31" customFormat="false" ht="15" hidden="false" customHeight="false" outlineLevel="0" collapsed="false">
      <c r="A31" s="10" t="s">
        <v>280</v>
      </c>
      <c r="B31" s="17"/>
      <c r="C31" s="45" t="str">
        <f aca="false">IF(C20&gt;=1.3,"YES","NO")</f>
        <v>NO</v>
      </c>
      <c r="D31" s="45" t="str">
        <f aca="false">IF(D20&gt;=1.3,"YES","NO")</f>
        <v>YES</v>
      </c>
      <c r="E31" s="45" t="str">
        <f aca="false">IF(E20&gt;=1.3,"YES","NO")</f>
        <v>YES</v>
      </c>
      <c r="F31" s="19" t="s">
        <v>281</v>
      </c>
    </row>
    <row r="33" customFormat="false" ht="39.75" hidden="false" customHeight="true" outlineLevel="0" collapsed="false">
      <c r="A33" s="46" t="s">
        <v>282</v>
      </c>
      <c r="C33" s="47" t="str">
        <f aca="false">IF(AND(D29="YES",D30="YES",D31="YES"),"PROFITABLE — equity IRR target met, NPV positive, bank-financeable",IF(D29="YES","CONDITIONALLY VIABLE — IRR target met but check DSCR/NPV","BELOW TARGET — review assumptions or accept lower hurdle"))</f>
        <v>PROFITABLE — equity IRR target met, NPV positive, bank-financeable</v>
      </c>
      <c r="D33" s="47"/>
      <c r="E33" s="47"/>
    </row>
  </sheetData>
  <mergeCells count="2">
    <mergeCell ref="A1:F1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283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284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285</v>
      </c>
      <c r="B4" s="3"/>
      <c r="C4" s="3"/>
      <c r="D4" s="3"/>
      <c r="E4" s="3"/>
      <c r="F4" s="3"/>
      <c r="G4" s="3"/>
      <c r="H4" s="3"/>
    </row>
    <row r="5" customFormat="false" ht="18" hidden="false" customHeight="true" outlineLevel="0" collapsed="false">
      <c r="A5" s="7" t="s">
        <v>286</v>
      </c>
      <c r="B5" s="7"/>
      <c r="C5" s="7"/>
      <c r="D5" s="7"/>
      <c r="E5" s="7"/>
      <c r="F5" s="7"/>
      <c r="G5" s="7"/>
      <c r="H5" s="7"/>
    </row>
    <row r="6" customFormat="false" ht="18" hidden="false" customHeight="true" outlineLevel="0" collapsed="false">
      <c r="A6" s="7" t="s">
        <v>287</v>
      </c>
      <c r="B6" s="7"/>
      <c r="C6" s="7"/>
      <c r="D6" s="7"/>
      <c r="E6" s="7"/>
      <c r="F6" s="7"/>
      <c r="G6" s="7"/>
      <c r="H6" s="7"/>
    </row>
    <row r="7" customFormat="false" ht="18" hidden="false" customHeight="true" outlineLevel="0" collapsed="false">
      <c r="A7" s="7" t="s">
        <v>288</v>
      </c>
      <c r="B7" s="7"/>
      <c r="C7" s="7"/>
      <c r="D7" s="7"/>
      <c r="E7" s="7"/>
      <c r="F7" s="7"/>
      <c r="G7" s="7"/>
      <c r="H7" s="7"/>
    </row>
    <row r="10" customFormat="false" ht="15" hidden="false" customHeight="false" outlineLevel="0" collapsed="false">
      <c r="A10" s="3" t="s">
        <v>289</v>
      </c>
      <c r="B10" s="3"/>
      <c r="C10" s="3"/>
      <c r="D10" s="3"/>
      <c r="E10" s="3"/>
      <c r="F10" s="3"/>
      <c r="G10" s="3"/>
      <c r="H10" s="3"/>
    </row>
    <row r="11" customFormat="false" ht="21.75" hidden="false" customHeight="true" outlineLevel="0" collapsed="false">
      <c r="A11" s="14" t="s">
        <v>290</v>
      </c>
      <c r="B11" s="14" t="s">
        <v>291</v>
      </c>
      <c r="C11" s="14" t="s">
        <v>292</v>
      </c>
      <c r="D11" s="14" t="s">
        <v>293</v>
      </c>
      <c r="E11" s="14" t="s">
        <v>294</v>
      </c>
      <c r="F11" s="14" t="s">
        <v>295</v>
      </c>
      <c r="G11" s="14" t="s">
        <v>296</v>
      </c>
      <c r="H11" s="14" t="s">
        <v>297</v>
      </c>
    </row>
    <row r="12" customFormat="false" ht="15" hidden="false" customHeight="false" outlineLevel="0" collapsed="false">
      <c r="A12" s="10" t="s">
        <v>298</v>
      </c>
      <c r="B12" s="48" t="n">
        <v>1180</v>
      </c>
      <c r="C12" s="48" t="n">
        <v>944</v>
      </c>
      <c r="D12" s="48" t="n">
        <v>1416</v>
      </c>
      <c r="E12" s="49" t="n">
        <v>0.0307499269967388</v>
      </c>
      <c r="F12" s="49" t="n">
        <v>0.0961265309306243</v>
      </c>
      <c r="G12" s="49" t="n">
        <v>0.149087279562562</v>
      </c>
      <c r="H12" s="50" t="n">
        <v>0.118337352565823</v>
      </c>
    </row>
    <row r="13" customFormat="false" ht="15" hidden="false" customHeight="false" outlineLevel="0" collapsed="false">
      <c r="A13" s="10" t="s">
        <v>299</v>
      </c>
      <c r="B13" s="51" t="n">
        <v>64</v>
      </c>
      <c r="C13" s="51" t="n">
        <v>51.2</v>
      </c>
      <c r="D13" s="51" t="n">
        <v>76.8</v>
      </c>
      <c r="E13" s="49" t="n">
        <v>0.0442578423101507</v>
      </c>
      <c r="F13" s="49" t="n">
        <v>0.0961265309306243</v>
      </c>
      <c r="G13" s="49" t="n">
        <v>0.145744594157686</v>
      </c>
      <c r="H13" s="52" t="n">
        <v>0.101486751847535</v>
      </c>
    </row>
    <row r="14" customFormat="false" ht="15" hidden="false" customHeight="false" outlineLevel="0" collapsed="false">
      <c r="A14" s="10" t="s">
        <v>300</v>
      </c>
      <c r="B14" s="53" t="n">
        <v>0.6448</v>
      </c>
      <c r="C14" s="53" t="n">
        <v>0.51584</v>
      </c>
      <c r="D14" s="53" t="n">
        <v>0.77376</v>
      </c>
      <c r="E14" s="49" t="n">
        <v>0.146752616025527</v>
      </c>
      <c r="F14" s="49" t="n">
        <v>0.0961265309306243</v>
      </c>
      <c r="G14" s="49" t="n">
        <v>0.0591029758972663</v>
      </c>
      <c r="H14" s="52" t="n">
        <v>0.0876496401282603</v>
      </c>
    </row>
    <row r="15" customFormat="false" ht="15" hidden="false" customHeight="false" outlineLevel="0" collapsed="false">
      <c r="A15" s="10" t="s">
        <v>301</v>
      </c>
      <c r="B15" s="49" t="n">
        <v>0.6</v>
      </c>
      <c r="C15" s="49" t="n">
        <v>0.48</v>
      </c>
      <c r="D15" s="49" t="n">
        <v>0.72</v>
      </c>
      <c r="E15" s="49" t="n">
        <v>0.117529170106888</v>
      </c>
      <c r="F15" s="49" t="n">
        <v>0.0961265309306243</v>
      </c>
      <c r="G15" s="49" t="n">
        <v>0.074476143789201</v>
      </c>
      <c r="H15" s="52" t="n">
        <v>0.0430530263176865</v>
      </c>
    </row>
    <row r="16" customFormat="false" ht="15" hidden="false" customHeight="false" outlineLevel="0" collapsed="false">
      <c r="A16" s="10" t="s">
        <v>302</v>
      </c>
      <c r="B16" s="51" t="n">
        <v>13</v>
      </c>
      <c r="C16" s="51" t="n">
        <v>10.4</v>
      </c>
      <c r="D16" s="51" t="n">
        <v>15.6</v>
      </c>
      <c r="E16" s="49" t="n">
        <v>0.106570019011658</v>
      </c>
      <c r="F16" s="49" t="n">
        <v>0.0961265309306243</v>
      </c>
      <c r="G16" s="49" t="n">
        <v>0.0849432632968825</v>
      </c>
      <c r="H16" s="52" t="n">
        <v>0.0216267557147754</v>
      </c>
    </row>
    <row r="17" customFormat="false" ht="15" hidden="false" customHeight="false" outlineLevel="0" collapsed="false">
      <c r="A17" s="10" t="s">
        <v>131</v>
      </c>
      <c r="B17" s="49" t="n">
        <v>0.045</v>
      </c>
      <c r="C17" s="49" t="n">
        <v>0.036</v>
      </c>
      <c r="D17" s="49" t="n">
        <v>0.054</v>
      </c>
      <c r="E17" s="49" t="n">
        <v>0.102561101527221</v>
      </c>
      <c r="F17" s="49" t="n">
        <v>0.0961265309306243</v>
      </c>
      <c r="G17" s="49" t="n">
        <v>0.0893456691567673</v>
      </c>
      <c r="H17" s="52" t="n">
        <v>0.0132154323704539</v>
      </c>
    </row>
    <row r="18" customFormat="false" ht="15" hidden="false" customHeight="false" outlineLevel="0" collapsed="false">
      <c r="A18" s="10" t="s">
        <v>303</v>
      </c>
      <c r="B18" s="51" t="n">
        <v>1800</v>
      </c>
      <c r="C18" s="51" t="n">
        <v>1440</v>
      </c>
      <c r="D18" s="51" t="n">
        <v>2160</v>
      </c>
      <c r="E18" s="49" t="n">
        <v>0.0985011374631297</v>
      </c>
      <c r="F18" s="49" t="n">
        <v>0.0961265309306243</v>
      </c>
      <c r="G18" s="49" t="n">
        <v>0.0937175720409305</v>
      </c>
      <c r="H18" s="52" t="n">
        <v>0.00478356542219927</v>
      </c>
    </row>
    <row r="19" customFormat="false" ht="15" hidden="false" customHeight="false" outlineLevel="0" collapsed="false">
      <c r="A19" s="10" t="s">
        <v>304</v>
      </c>
      <c r="B19" s="51" t="n">
        <v>3</v>
      </c>
      <c r="C19" s="51" t="n">
        <v>2.4</v>
      </c>
      <c r="D19" s="51" t="n">
        <v>3.6</v>
      </c>
      <c r="E19" s="49" t="n">
        <v>0.0940425500417339</v>
      </c>
      <c r="F19" s="49" t="n">
        <v>0.0961265309306243</v>
      </c>
      <c r="G19" s="49" t="n">
        <v>0.098210935589258</v>
      </c>
      <c r="H19" s="52" t="n">
        <v>0.00416838554752408</v>
      </c>
    </row>
    <row r="20" customFormat="false" ht="15" hidden="false" customHeight="false" outlineLevel="0" collapsed="false">
      <c r="A20" s="10" t="s">
        <v>305</v>
      </c>
      <c r="B20" s="51" t="n">
        <v>1.5</v>
      </c>
      <c r="C20" s="51" t="n">
        <v>1.2</v>
      </c>
      <c r="D20" s="51" t="n">
        <v>1.8</v>
      </c>
      <c r="E20" s="49" t="n">
        <v>0.0949506414185897</v>
      </c>
      <c r="F20" s="49" t="n">
        <v>0.0961265309306243</v>
      </c>
      <c r="G20" s="49" t="n">
        <v>0.0972977915171667</v>
      </c>
      <c r="H20" s="52" t="n">
        <v>0.002347150098577</v>
      </c>
    </row>
    <row r="25" customFormat="false" ht="15" hidden="false" customHeight="false" outlineLevel="0" collapsed="false">
      <c r="A25" s="3" t="s">
        <v>306</v>
      </c>
      <c r="B25" s="3"/>
      <c r="C25" s="3"/>
      <c r="D25" s="3"/>
      <c r="E25" s="3"/>
      <c r="F25" s="3"/>
      <c r="G25" s="3"/>
      <c r="H25" s="3"/>
    </row>
    <row r="26" customFormat="false" ht="18" hidden="false" customHeight="true" outlineLevel="0" collapsed="false">
      <c r="A26" s="7" t="s">
        <v>307</v>
      </c>
      <c r="B26" s="7"/>
      <c r="C26" s="7"/>
      <c r="D26" s="7"/>
      <c r="E26" s="7"/>
      <c r="F26" s="7"/>
      <c r="G26" s="7"/>
      <c r="H26" s="7"/>
    </row>
    <row r="27" customFormat="false" ht="18" hidden="false" customHeight="true" outlineLevel="0" collapsed="false">
      <c r="A27" s="7" t="s">
        <v>308</v>
      </c>
      <c r="B27" s="7"/>
      <c r="C27" s="7"/>
      <c r="D27" s="7"/>
      <c r="E27" s="7"/>
      <c r="F27" s="7"/>
      <c r="G27" s="7"/>
      <c r="H27" s="7"/>
    </row>
    <row r="28" customFormat="false" ht="18" hidden="false" customHeight="true" outlineLevel="0" collapsed="false">
      <c r="A28" s="7" t="s">
        <v>309</v>
      </c>
      <c r="B28" s="7"/>
      <c r="C28" s="7"/>
      <c r="D28" s="7"/>
      <c r="E28" s="7"/>
      <c r="F28" s="7"/>
      <c r="G28" s="7"/>
      <c r="H28" s="7"/>
    </row>
    <row r="29" customFormat="false" ht="18" hidden="false" customHeight="true" outlineLevel="0" collapsed="false">
      <c r="A29" s="7" t="s">
        <v>310</v>
      </c>
      <c r="B29" s="7"/>
      <c r="C29" s="7"/>
      <c r="D29" s="7"/>
      <c r="E29" s="7"/>
      <c r="F29" s="7"/>
      <c r="G29" s="7"/>
      <c r="H29" s="7"/>
    </row>
    <row r="30" customFormat="false" ht="18" hidden="false" customHeight="true" outlineLevel="0" collapsed="false">
      <c r="A30" s="7" t="s">
        <v>311</v>
      </c>
      <c r="B30" s="7"/>
      <c r="C30" s="7"/>
      <c r="D30" s="7"/>
      <c r="E30" s="7"/>
      <c r="F30" s="7"/>
      <c r="G30" s="7"/>
      <c r="H30" s="7"/>
    </row>
  </sheetData>
  <mergeCells count="13">
    <mergeCell ref="A1:H1"/>
    <mergeCell ref="A2:H2"/>
    <mergeCell ref="A4:H4"/>
    <mergeCell ref="A5:H5"/>
    <mergeCell ref="A6:H6"/>
    <mergeCell ref="A7:H7"/>
    <mergeCell ref="A10:H10"/>
    <mergeCell ref="A25:H25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2026-05-26T08:02:00Z</dcterms:created>
  <dc:creator>openpyxl</dc:creator>
  <dc:description/>
  <dc:language>en-US</dc:language>
  <cp:lastModifiedBy/>
  <dcterms:modified xsi:type="dcterms:W3CDTF">2026-05-26T08:02:00Z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